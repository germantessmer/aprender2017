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G:\Mi unidad\CoderHouse - Data Analytics\- Definitivo\doc proyecto\"/>
    </mc:Choice>
  </mc:AlternateContent>
  <xr:revisionPtr revIDLastSave="0" documentId="13_ncr:1_{C4E845D1-AC59-4D24-9029-CDB5BA55538F}" xr6:coauthVersionLast="47" xr6:coauthVersionMax="47" xr10:uidLastSave="{00000000-0000-0000-0000-000000000000}"/>
  <bookViews>
    <workbookView xWindow="28680" yWindow="855" windowWidth="29040" windowHeight="15720" firstSheet="5" activeTab="6" xr2:uid="{00000000-000D-0000-FFFF-FFFF00000000}"/>
  </bookViews>
  <sheets>
    <sheet name="R" sheetId="10" r:id="rId1"/>
    <sheet name="Seleccion" sheetId="11" r:id="rId2"/>
    <sheet name="Glosario" sheetId="12" r:id="rId3"/>
    <sheet name="Tablas" sheetId="9" r:id="rId4"/>
    <sheet name="provincia2" sheetId="4" r:id="rId5"/>
    <sheet name="Tabla  de Versionado" sheetId="14" r:id="rId6"/>
    <sheet name="Tabla  de Versionado (2)" sheetId="17" r:id="rId7"/>
    <sheet name="M BI" sheetId="1" r:id="rId8"/>
    <sheet name="Indicadores" sheetId="6" r:id="rId9"/>
    <sheet name="new jurisdiccion" sheetId="13" r:id="rId10"/>
    <sheet name="Filtros" sheetId="7" r:id="rId11"/>
    <sheet name="Visuales" sheetId="8" r:id="rId12"/>
    <sheet name="Paleta" sheetId="16" r:id="rId13"/>
    <sheet name="Lineas de trabajo" sheetId="15" r:id="rId14"/>
  </sheets>
  <definedNames>
    <definedName name="_xlnm._FilterDatabase" localSheetId="2" hidden="1">Glosario!$A$2:$C$2</definedName>
    <definedName name="DatosExternos_1" localSheetId="9" hidden="1">'new jurisdiccion'!#REF!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1" l="1"/>
  <c r="E8" i="11"/>
  <c r="E7" i="11"/>
  <c r="E7" i="10"/>
  <c r="E6" i="10"/>
  <c r="E5" i="10"/>
  <c r="E4" i="10"/>
  <c r="E3" i="10"/>
  <c r="E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AC717E-9DD9-4C17-AEE5-993D8EA64B56}" keepAlive="1" name="Consulta - jurisdiccion" description="Conexión a la consulta 'jurisdiccion' en el libro." type="5" refreshedVersion="7" background="1" saveData="1">
    <dbPr connection="Provider=Microsoft.Mashup.OleDb.1;Data Source=$Workbook$;Location=jurisdiccion;Extended Properties=&quot;&quot;" command="SELECT * FROM [jurisdiccion]"/>
  </connection>
</connections>
</file>

<file path=xl/sharedStrings.xml><?xml version="1.0" encoding="utf-8"?>
<sst xmlns="http://schemas.openxmlformats.org/spreadsheetml/2006/main" count="1013" uniqueCount="431">
  <si>
    <t>Tabla</t>
  </si>
  <si>
    <t>Atributo</t>
  </si>
  <si>
    <t>Tipo de dato cargado</t>
  </si>
  <si>
    <t>Modificación buscada</t>
  </si>
  <si>
    <t>Alumno</t>
  </si>
  <si>
    <t>lpondera</t>
  </si>
  <si>
    <t>texto</t>
  </si>
  <si>
    <t>numérico decimal</t>
  </si>
  <si>
    <t>mpondera</t>
  </si>
  <si>
    <t>id_pais</t>
  </si>
  <si>
    <t>número entero</t>
  </si>
  <si>
    <t>resultado_lengua</t>
  </si>
  <si>
    <t>resultado_matematica</t>
  </si>
  <si>
    <t>No corresponde</t>
  </si>
  <si>
    <t>educacion_madre</t>
  </si>
  <si>
    <t>Nombre indicador</t>
  </si>
  <si>
    <t>Interpretación</t>
  </si>
  <si>
    <t>Promedio ponderado muestral por evaluación en conocimientos de lengua</t>
  </si>
  <si>
    <t>Promedio ponderado muestral por evaluación en conocimientos de matemáticas</t>
  </si>
  <si>
    <t>Promedio ponderado muestral por evaluación en conocimientos de lengua en mujeres</t>
  </si>
  <si>
    <t>Promedio ponderado muestral por evaluación en conocimientos de matemáticas en mujeres</t>
  </si>
  <si>
    <t>Promedio ponderado muestral por evaluación en conocimientos de lengua en hombres</t>
  </si>
  <si>
    <t>Promedio ponderado muestral por evaluación en conocimientos de matemáticas en hombres</t>
  </si>
  <si>
    <t>Promedio ponderado muestral por evaluación en conocimientos de lengua en establecimiento público</t>
  </si>
  <si>
    <t>Promedio ponderado muestral por evaluación en conocimientos de matemáticas en establecimiento público</t>
  </si>
  <si>
    <t>Promedio ponderado muestral por evaluación en conocimientos de lengua en establecimiento privado</t>
  </si>
  <si>
    <t>Promedio ponderado muestral por evaluación en conocimientos de matemáticas en establecimiento privado</t>
  </si>
  <si>
    <t>Promedio por evaluación en conocimientos de matemáticas parametrizado por puntaje adicional (en %) necesario para alcanzar promedios superiores a los observados</t>
  </si>
  <si>
    <t>Nombre filtro</t>
  </si>
  <si>
    <t>Distrito</t>
  </si>
  <si>
    <t>Conocimiento</t>
  </si>
  <si>
    <t>distritos[distritos2]</t>
  </si>
  <si>
    <t>distritos[Tipo de Conocimiento]</t>
  </si>
  <si>
    <t>Afectación individual</t>
  </si>
  <si>
    <t>Shape Map</t>
  </si>
  <si>
    <t>Gráfico de barras apiladas</t>
  </si>
  <si>
    <t>Afectación conjunta</t>
  </si>
  <si>
    <t>Tarjetas</t>
  </si>
  <si>
    <t>Tipo</t>
  </si>
  <si>
    <t>Input</t>
  </si>
  <si>
    <t>Tarjeta</t>
  </si>
  <si>
    <t>Ranking del promedio de rendimiento por distrito y tipo de conocimiento</t>
  </si>
  <si>
    <t>Promedio general de rendimiento por distrito y tipo de conocimiento</t>
  </si>
  <si>
    <t>Promedio de rendimiento por distrito y  tipo de conocimiento en mujeres</t>
  </si>
  <si>
    <t>Promedio de rendimiento por distrito y  tipo de conocimiento en hombres</t>
  </si>
  <si>
    <t>Promedio de rendimiento por distrito y  tipo de conocimiento en escuelas públicas</t>
  </si>
  <si>
    <t>Promedio de rendimiento por distrito y  tipo de conocimiento en escuelas privadas</t>
  </si>
  <si>
    <t>Sexo</t>
  </si>
  <si>
    <t>Información que muestra</t>
  </si>
  <si>
    <t>Distrito seleccionado para ubicación espacial</t>
  </si>
  <si>
    <t>Educación de la madre</t>
  </si>
  <si>
    <t>jurisdiccion[provincia2]</t>
  </si>
  <si>
    <t>Gráfico de barras agrupadas</t>
  </si>
  <si>
    <t>Treemap</t>
  </si>
  <si>
    <t>KPIs + Treemap</t>
  </si>
  <si>
    <t>hogar[educacion_madre2]</t>
  </si>
  <si>
    <t>KPI</t>
  </si>
  <si>
    <t>Muestra el rendimiento promedio en lengua, por educación de la madre. Compara contra el promedio general (no controlado por educación)</t>
  </si>
  <si>
    <t>Muestra el rendimiento promedio en matemática, por educación de la madre. Compara contra el promedio general (no controlado por educación)</t>
  </si>
  <si>
    <t>Composición por sexo de la agrupación por nivel educativo de la madre y distrito</t>
  </si>
  <si>
    <t>PK</t>
  </si>
  <si>
    <t>id_hogar</t>
  </si>
  <si>
    <t>Varchar(35)</t>
  </si>
  <si>
    <t>-</t>
  </si>
  <si>
    <t>Text</t>
  </si>
  <si>
    <t>educacion_padre</t>
  </si>
  <si>
    <t>isocioa</t>
  </si>
  <si>
    <t>isocial</t>
  </si>
  <si>
    <t>isociom</t>
  </si>
  <si>
    <t>computadora</t>
  </si>
  <si>
    <t>internet</t>
  </si>
  <si>
    <t>Tipo de clave</t>
  </si>
  <si>
    <t>Campo</t>
  </si>
  <si>
    <t>Tipo de campo</t>
  </si>
  <si>
    <t>TABLA 1 | Hogar</t>
  </si>
  <si>
    <t>id_alumno</t>
  </si>
  <si>
    <t>Int</t>
  </si>
  <si>
    <t>FK</t>
  </si>
  <si>
    <t>id_ hogar</t>
  </si>
  <si>
    <t>id_escuela</t>
  </si>
  <si>
    <t>Varchar(9)</t>
  </si>
  <si>
    <t>sexo</t>
  </si>
  <si>
    <t>edad</t>
  </si>
  <si>
    <t>tiene_celular</t>
  </si>
  <si>
    <t>usa_celular</t>
  </si>
  <si>
    <t>tiene_internet</t>
  </si>
  <si>
    <t>resultado_matemática</t>
  </si>
  <si>
    <t>ponder</t>
  </si>
  <si>
    <t>TABLA 2 | Alumno</t>
  </si>
  <si>
    <t>id_jurisdiccion</t>
  </si>
  <si>
    <t>Varchar(3)</t>
  </si>
  <si>
    <t>ambito</t>
  </si>
  <si>
    <t>sector</t>
  </si>
  <si>
    <t>iclima</t>
  </si>
  <si>
    <t>iclimam</t>
  </si>
  <si>
    <t>iclimal</t>
  </si>
  <si>
    <t>ICSE</t>
  </si>
  <si>
    <t>TABLA 3 | Escuela</t>
  </si>
  <si>
    <t>provincia</t>
  </si>
  <si>
    <t>TABLA 4 | Jurisdicción</t>
  </si>
  <si>
    <t>pais</t>
  </si>
  <si>
    <t xml:space="preserve">Rendimiento Lengua </t>
  </si>
  <si>
    <t xml:space="preserve">Rendimiento Matemática </t>
  </si>
  <si>
    <t xml:space="preserve">Rendimiento Matematica con Puntos Extra </t>
  </si>
  <si>
    <t>Alumnos en Escuela Privada</t>
  </si>
  <si>
    <t>Alumnos en Escuela Pública</t>
  </si>
  <si>
    <t>Cantidad ponderada del total de alumnos que concurren a establecimiento educativo de gestión privada</t>
  </si>
  <si>
    <t>Cantidad ponderada del total de alumnos que concurren a establecimiento educativo de gestión estatal</t>
  </si>
  <si>
    <t>Rendimiento Lengua en Mujeres</t>
  </si>
  <si>
    <t>Rendimiento Lengua en Hombres</t>
  </si>
  <si>
    <t>Rendimiento Matemática en Mujeres</t>
  </si>
  <si>
    <t>Rendimiento Matemática en Hombres</t>
  </si>
  <si>
    <t>Rendimiento Lengua es Esc. Pública</t>
  </si>
  <si>
    <t>Rendimiento Lengua en Esc. Privada</t>
  </si>
  <si>
    <t>Rendimiento Matemática en Esc. Privada</t>
  </si>
  <si>
    <t>Gráfico de columnas agrupadas</t>
  </si>
  <si>
    <t>Promedio de rendimiento en matemáticas en escuela de gestión privada</t>
  </si>
  <si>
    <t>Promedio de rendimiento en matemáticas en escuela de gestión pública</t>
  </si>
  <si>
    <t>Promedio de rendimiento en lenguas en escuela de gestión privada</t>
  </si>
  <si>
    <t>Promedio de rendimiento en lengua en escuela de gestión pública</t>
  </si>
  <si>
    <t>TABLA 5 - Pais</t>
  </si>
  <si>
    <t>Variable 1</t>
  </si>
  <si>
    <t>Variable 2</t>
  </si>
  <si>
    <t>Variable 3</t>
  </si>
  <si>
    <t>escuela_id</t>
  </si>
  <si>
    <t>Alumno 1</t>
  </si>
  <si>
    <t>Alumno 2</t>
  </si>
  <si>
    <t>Alumno 3</t>
  </si>
  <si>
    <t>Alumno 4</t>
  </si>
  <si>
    <t>Alumno 5</t>
  </si>
  <si>
    <t>Alumno 6</t>
  </si>
  <si>
    <t>Variable</t>
  </si>
  <si>
    <t>Etiqueta</t>
  </si>
  <si>
    <t>Agrupación específica</t>
  </si>
  <si>
    <t>Tablas diagrama</t>
  </si>
  <si>
    <t>Nombre atributo recodificado</t>
  </si>
  <si>
    <t>ap1</t>
  </si>
  <si>
    <t>¿Cuántos años tenés?</t>
  </si>
  <si>
    <t>Características individuales</t>
  </si>
  <si>
    <t>Edad</t>
  </si>
  <si>
    <t>ap2</t>
  </si>
  <si>
    <t>ap46a</t>
  </si>
  <si>
    <t>¿Tenés celular propio?</t>
  </si>
  <si>
    <t>Comunicaciones personales</t>
  </si>
  <si>
    <t>ap46b</t>
  </si>
  <si>
    <t>¿Tu celular tiene internet?</t>
  </si>
  <si>
    <t>ap46c</t>
  </si>
  <si>
    <t>¿Te dejan usarlo en el aula?</t>
  </si>
  <si>
    <r>
      <t xml:space="preserve">Factor de expansión </t>
    </r>
    <r>
      <rPr>
        <sz val="8"/>
        <color theme="1"/>
        <rFont val="Calibri"/>
        <family val="2"/>
      </rPr>
      <t>(complementario)</t>
    </r>
  </si>
  <si>
    <t>Evaluacion</t>
  </si>
  <si>
    <t>Factor de expansión en Lengua</t>
  </si>
  <si>
    <t>Factor de expansión en Matemática</t>
  </si>
  <si>
    <t>TEL</t>
  </si>
  <si>
    <t>Puntaje en Lengua</t>
  </si>
  <si>
    <t>TEM</t>
  </si>
  <si>
    <t>Puntaje en Matemática</t>
  </si>
  <si>
    <t>Sector de gestión</t>
  </si>
  <si>
    <t>Características de la escuela</t>
  </si>
  <si>
    <t>Escuela</t>
  </si>
  <si>
    <t>Ámbito</t>
  </si>
  <si>
    <t>Índice del Contexto Social de la Educación recodificado</t>
  </si>
  <si>
    <t>Índice de Clima escolar</t>
  </si>
  <si>
    <t>Índice de Clima escolar ponderador Lengua</t>
  </si>
  <si>
    <t>Índice de Clima escolar ponderador Matemática</t>
  </si>
  <si>
    <t>ap7d</t>
  </si>
  <si>
    <t>¿En el lugar donde vivís hay conexión a Internet?</t>
  </si>
  <si>
    <t>Características del Hogar</t>
  </si>
  <si>
    <t>Hogar</t>
  </si>
  <si>
    <t>ap8b</t>
  </si>
  <si>
    <t>¿Cuáles de estas cosas hay en el lugar donde vivís? Computadora</t>
  </si>
  <si>
    <t>ap10</t>
  </si>
  <si>
    <t>¿Cuál es el máximo nivel educativo de tu mamá?</t>
  </si>
  <si>
    <t>Características de la familia</t>
  </si>
  <si>
    <t>ap11</t>
  </si>
  <si>
    <t>¿Cuál es el máximo nivel educativo de tu papá?</t>
  </si>
  <si>
    <t xml:space="preserve">Indice socioeconómico del alumno </t>
  </si>
  <si>
    <t>isocioal</t>
  </si>
  <si>
    <t>Indice socioeconómico del alumno ponderador Lengua</t>
  </si>
  <si>
    <t>isocioam</t>
  </si>
  <si>
    <t>Indice socioeconómico del alumno ponderador Matemática</t>
  </si>
  <si>
    <t>cod_provincia</t>
  </si>
  <si>
    <t>Número de jurisdicción</t>
  </si>
  <si>
    <t>Jurisdicción</t>
  </si>
  <si>
    <t>id_jurisdiccion + provincia</t>
  </si>
  <si>
    <t>ap3a</t>
  </si>
  <si>
    <t>¿En qué país naciste?</t>
  </si>
  <si>
    <t>País nacimiento</t>
  </si>
  <si>
    <t>id_nacimiento + pais</t>
  </si>
  <si>
    <t>provincia2</t>
  </si>
  <si>
    <t>Buenos Aires</t>
  </si>
  <si>
    <t>Bs.As.</t>
  </si>
  <si>
    <t>Catamarca</t>
  </si>
  <si>
    <t>Chaco</t>
  </si>
  <si>
    <t>Chubut</t>
  </si>
  <si>
    <t>Ciudad Autónoma de Buenos Aires</t>
  </si>
  <si>
    <t>CABA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</si>
  <si>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</si>
  <si>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</si>
  <si>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</si>
  <si>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</si>
  <si>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</si>
  <si>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</si>
  <si>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</si>
  <si>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</si>
  <si>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</si>
  <si>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</si>
  <si>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</si>
  <si>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</si>
  <si>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</si>
  <si>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</si>
  <si>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</si>
  <si>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Sta. Cruz</t>
  </si>
  <si>
    <t>Santa Fe</t>
  </si>
  <si>
    <t>Sta. Fe</t>
  </si>
  <si>
    <t>Santiago del Estero</t>
  </si>
  <si>
    <t>Sgo. del Estero</t>
  </si>
  <si>
    <t>Tierra del Fuego</t>
  </si>
  <si>
    <t>Tucumán</t>
  </si>
  <si>
    <t>16 años o menos</t>
  </si>
  <si>
    <t>17 años</t>
  </si>
  <si>
    <t>18 años</t>
  </si>
  <si>
    <t>19 años</t>
  </si>
  <si>
    <t>20 años o más</t>
  </si>
  <si>
    <t>Multimarca</t>
  </si>
  <si>
    <t>Blanco</t>
  </si>
  <si>
    <t>Sos..</t>
  </si>
  <si>
    <t>Varón</t>
  </si>
  <si>
    <t>Mujer</t>
  </si>
  <si>
    <t>Argentina</t>
  </si>
  <si>
    <t>Bolivia</t>
  </si>
  <si>
    <t>Brasil</t>
  </si>
  <si>
    <t>Chile</t>
  </si>
  <si>
    <t>Paraguay</t>
  </si>
  <si>
    <t>Perú</t>
  </si>
  <si>
    <t>Uruguay</t>
  </si>
  <si>
    <t>Otros</t>
  </si>
  <si>
    <t>No sé</t>
  </si>
  <si>
    <t>Sí</t>
  </si>
  <si>
    <t>No</t>
  </si>
  <si>
    <t>No fue a la escuela</t>
  </si>
  <si>
    <t>Primaria incompleta</t>
  </si>
  <si>
    <t>Primaria completa</t>
  </si>
  <si>
    <t>Secundaria incompleta</t>
  </si>
  <si>
    <t>Secundaria completa</t>
  </si>
  <si>
    <t>Universitario o terciario incompleto</t>
  </si>
  <si>
    <t>Universitario o terciario completo</t>
  </si>
  <si>
    <t>Sí, siempre que quiero</t>
  </si>
  <si>
    <t>Sí, solo para hacer tareas</t>
  </si>
  <si>
    <t xml:space="preserve"> Ciudad Autónoma de Buenos Aires</t>
  </si>
  <si>
    <t xml:space="preserve"> Catamarca</t>
  </si>
  <si>
    <t xml:space="preserve"> Córdoba</t>
  </si>
  <si>
    <t xml:space="preserve"> Corrientes</t>
  </si>
  <si>
    <t xml:space="preserve"> Chaco</t>
  </si>
  <si>
    <t xml:space="preserve"> Chubut</t>
  </si>
  <si>
    <t xml:space="preserve"> Entre Ríos</t>
  </si>
  <si>
    <t xml:space="preserve"> Formosa</t>
  </si>
  <si>
    <t xml:space="preserve"> Jujuy</t>
  </si>
  <si>
    <t xml:space="preserve"> La Pampa</t>
  </si>
  <si>
    <t xml:space="preserve"> La Rioja</t>
  </si>
  <si>
    <t xml:space="preserve"> Mendoza</t>
  </si>
  <si>
    <t xml:space="preserve"> Misiones</t>
  </si>
  <si>
    <t xml:space="preserve"> Neuquén</t>
  </si>
  <si>
    <t xml:space="preserve"> Río Negro</t>
  </si>
  <si>
    <t xml:space="preserve"> Salta</t>
  </si>
  <si>
    <t xml:space="preserve"> San Juan</t>
  </si>
  <si>
    <t xml:space="preserve"> San Luis</t>
  </si>
  <si>
    <t xml:space="preserve"> Santa Cruz</t>
  </si>
  <si>
    <t xml:space="preserve"> Santa Fe</t>
  </si>
  <si>
    <t xml:space="preserve"> Santiago del Estero</t>
  </si>
  <si>
    <t xml:space="preserve"> Tucumán</t>
  </si>
  <si>
    <t xml:space="preserve"> Tierra del Fuego</t>
  </si>
  <si>
    <t>Estatal</t>
  </si>
  <si>
    <t>Privado</t>
  </si>
  <si>
    <t>Urbano</t>
  </si>
  <si>
    <t>Rural</t>
  </si>
  <si>
    <t>Bajo</t>
  </si>
  <si>
    <t>Medio</t>
  </si>
  <si>
    <t>Alto</t>
  </si>
  <si>
    <t>Significado</t>
  </si>
  <si>
    <t>Posibles respuestas</t>
  </si>
  <si>
    <t>Factor de expansión</t>
  </si>
  <si>
    <t>TABLA 4 | Jurisdiccion</t>
  </si>
  <si>
    <t xml:space="preserve"> Buenos Aires</t>
  </si>
  <si>
    <t>TABLA 5 | Pais</t>
  </si>
  <si>
    <t>Versión</t>
  </si>
  <si>
    <t>Fecha</t>
  </si>
  <si>
    <t>Nombre Archivo</t>
  </si>
  <si>
    <t>Corresponde a actividad</t>
  </si>
  <si>
    <t>DE8 - Extraccion de Informacion</t>
  </si>
  <si>
    <t>aprender - DE8.pbix</t>
  </si>
  <si>
    <t>aprender - DE9.pbix</t>
  </si>
  <si>
    <t>DE9 - Modelo Relacional</t>
  </si>
  <si>
    <t>aprender - DE10.pbix</t>
  </si>
  <si>
    <t>DE10 - Columnas y medidas calculadas</t>
  </si>
  <si>
    <t>aprender - DE11.pbix</t>
  </si>
  <si>
    <t>DE11 - Medidas calculadas avanzadas</t>
  </si>
  <si>
    <t>DE12 - Graficos y segmentaciones</t>
  </si>
  <si>
    <t>aprender - DE12.pbix</t>
  </si>
  <si>
    <t>PF2 - Segunda entrega proyecto final</t>
  </si>
  <si>
    <t>Entrega final</t>
  </si>
  <si>
    <t>7.0</t>
  </si>
  <si>
    <t>1.0</t>
  </si>
  <si>
    <t>2.0</t>
  </si>
  <si>
    <t>3.0</t>
  </si>
  <si>
    <t>4.0</t>
  </si>
  <si>
    <t>5.0</t>
  </si>
  <si>
    <t>6.0</t>
  </si>
  <si>
    <t>longitud</t>
  </si>
  <si>
    <t>latitud</t>
  </si>
  <si>
    <t>ENGTYPE_1</t>
  </si>
  <si>
    <t>ID_0</t>
  </si>
  <si>
    <t>ID_1</t>
  </si>
  <si>
    <t>ISO</t>
  </si>
  <si>
    <t>NAME_0</t>
  </si>
  <si>
    <t>NAME_1</t>
  </si>
  <si>
    <t>TYPE_1</t>
  </si>
  <si>
    <t>a06</t>
  </si>
  <si>
    <t>Province</t>
  </si>
  <si>
    <t>ARG</t>
  </si>
  <si>
    <t>Provincia</t>
  </si>
  <si>
    <t>a10</t>
  </si>
  <si>
    <t>a22</t>
  </si>
  <si>
    <t>a26</t>
  </si>
  <si>
    <t>a02</t>
  </si>
  <si>
    <t>Federal District</t>
  </si>
  <si>
    <t>Ciudad de Buenos Aires</t>
  </si>
  <si>
    <t>Distrito Federal</t>
  </si>
  <si>
    <t>a14</t>
  </si>
  <si>
    <t>a18</t>
  </si>
  <si>
    <t>a30</t>
  </si>
  <si>
    <t>a34</t>
  </si>
  <si>
    <t>a38</t>
  </si>
  <si>
    <t>a42</t>
  </si>
  <si>
    <t>a46</t>
  </si>
  <si>
    <t>a50</t>
  </si>
  <si>
    <t>a54</t>
  </si>
  <si>
    <t>a58</t>
  </si>
  <si>
    <t>a62</t>
  </si>
  <si>
    <t>a66</t>
  </si>
  <si>
    <t>a70</t>
  </si>
  <si>
    <t>a74</t>
  </si>
  <si>
    <t>a78</t>
  </si>
  <si>
    <t>a82</t>
  </si>
  <si>
    <t>a86</t>
  </si>
  <si>
    <t>a94</t>
  </si>
  <si>
    <t>National Territory</t>
  </si>
  <si>
    <t>Territorio Nacional</t>
  </si>
  <si>
    <t>a90</t>
  </si>
  <si>
    <t>Año</t>
  </si>
  <si>
    <t>Tipo de base</t>
  </si>
  <si>
    <t>Nivel Secundario</t>
  </si>
  <si>
    <t>Nivel Primario</t>
  </si>
  <si>
    <t>Curso relevado</t>
  </si>
  <si>
    <t>Muestra</t>
  </si>
  <si>
    <t>3° año</t>
  </si>
  <si>
    <t>9° año</t>
  </si>
  <si>
    <t>6° año</t>
  </si>
  <si>
    <t>Censal</t>
  </si>
  <si>
    <t>5°/6° año</t>
  </si>
  <si>
    <t>No publicado</t>
  </si>
  <si>
    <t>A publicarse en junio de 2022</t>
  </si>
  <si>
    <r>
      <t xml:space="preserve">12° año </t>
    </r>
    <r>
      <rPr>
        <b/>
        <sz val="9"/>
        <color theme="1"/>
        <rFont val="Calibri"/>
        <family val="2"/>
        <scheme val="minor"/>
      </rPr>
      <t>(*)</t>
    </r>
  </si>
  <si>
    <r>
      <rPr>
        <b/>
        <sz val="9"/>
        <color theme="1" tint="0.14999847407452621"/>
        <rFont val="Calibri"/>
        <family val="2"/>
        <scheme val="minor"/>
      </rPr>
      <t xml:space="preserve">(*) </t>
    </r>
    <r>
      <rPr>
        <sz val="9"/>
        <color theme="1" tint="0.14999847407452621"/>
        <rFont val="Calibri"/>
        <family val="2"/>
        <scheme val="minor"/>
      </rPr>
      <t>Años de formación secundaria expresados bajo sistema Polimodal</t>
    </r>
  </si>
  <si>
    <t>Tipo de escuela</t>
  </si>
  <si>
    <t>escuela[sector]</t>
  </si>
  <si>
    <t>alumno[sexo]</t>
  </si>
  <si>
    <t>Shape Maps + Tablas</t>
  </si>
  <si>
    <t>Escala comparativa del promedio general de rendimiento en matemáticas</t>
  </si>
  <si>
    <t>Escala comparativa del promedio general de rendimiento en lengua</t>
  </si>
  <si>
    <t>Nro</t>
  </si>
  <si>
    <t>Filtro slicer</t>
  </si>
  <si>
    <t>Top 5 de los mejores promedios en matemáticas por distrito</t>
  </si>
  <si>
    <t>Top 5 de los peores promedios en matemáticas por distrito</t>
  </si>
  <si>
    <t>Top 5 de los mejores promedios en lengua por distrito</t>
  </si>
  <si>
    <t>Top 5 de los peores promedios en lengua por distrito</t>
  </si>
  <si>
    <t>Filtro para agregar puntos extra al grupo de alumnos seleccionados por filtros</t>
  </si>
  <si>
    <t>Muestra el tipo de conocimiento seleccionado (lengua o matemáticas)</t>
  </si>
  <si>
    <t>Promedios de rendimiento por tipo de conocimiento para comparativa de desempeño entre distritos</t>
  </si>
  <si>
    <t>Muestra el distrito seleccionado</t>
  </si>
  <si>
    <t>Cantidad de alumnos en el distrito seleccionado</t>
  </si>
  <si>
    <t>Micro shape map</t>
  </si>
  <si>
    <t>Muestra el nombre del distrito. En su defecto, si el filtro Distrito muestra la opción "Todas", muestra la leyenda "Argentina"</t>
  </si>
  <si>
    <t>Micro Shape Map</t>
  </si>
  <si>
    <t>Muestra la ubicación del distrito seleccionado haciendo zoom en el mismo</t>
  </si>
  <si>
    <t>Escala comparativa del promedio general de rendimiento por tipo de conocimiento</t>
  </si>
  <si>
    <t>Muestra rendimientos de ambos tipos de conocimiento de los alumnos, por nivel educativo de la madre</t>
  </si>
  <si>
    <t>Tarjeta (distrito)</t>
  </si>
  <si>
    <t>Tarjetas (rendimiento) + Treemap</t>
  </si>
  <si>
    <t>Muestra la cantidad de alumnos por tipo de gestión del establecimiento educativo y por educación de la madre</t>
  </si>
  <si>
    <t>Rendimiento Matemática en Esc. Pública</t>
  </si>
  <si>
    <t>#20315D</t>
  </si>
  <si>
    <t>#3E4879</t>
  </si>
  <si>
    <t>#F3D005</t>
  </si>
  <si>
    <t>#F1F1F1</t>
  </si>
  <si>
    <t>Código  Hex</t>
  </si>
  <si>
    <t>Asignado a</t>
  </si>
  <si>
    <t>Títulos</t>
  </si>
  <si>
    <t>Matemáticas</t>
  </si>
  <si>
    <t>Lengua</t>
  </si>
  <si>
    <t>Contexto</t>
  </si>
  <si>
    <t>Paleta de referencia</t>
  </si>
  <si>
    <t>Modificaciones</t>
  </si>
  <si>
    <t>Punto de partida</t>
  </si>
  <si>
    <t>Se modificaron los menus de navegación entre páginas</t>
  </si>
  <si>
    <t>La página [Resultados generales pasa a ser [Resultado por provincia]</t>
  </si>
  <si>
    <t>Se habilita el espacio para la página [Resultados Generales]</t>
  </si>
  <si>
    <t>Se crean los bookmarks de la página [Educación de la madre]</t>
  </si>
  <si>
    <t>Se eliman los  íconos de sexo de los treemaps</t>
  </si>
  <si>
    <t>Se incorporan los mapas por tipo de conocimiento</t>
  </si>
  <si>
    <t>Se modicaron los elementos visuales de [Resultados por provincia] para que reaccionen al color del conocimiento seleccionado</t>
  </si>
  <si>
    <t>Se agregaron dos tarjetas a [Resultados por provincia]</t>
  </si>
  <si>
    <t>Se incorporó el mini shape map a [Tipo de escuela]</t>
  </si>
  <si>
    <t>Se implementó la tarjeta de título para la selección de valores de filtros por defecto</t>
  </si>
  <si>
    <t>Se incorporaron tablas a [Resultados generales]</t>
  </si>
  <si>
    <t>Se incorporó el mini shape map a [Educación de la madre]</t>
  </si>
  <si>
    <t>Se incorporó el filtro [Tipo de escuela] a la página  [Tipo de escuela]</t>
  </si>
  <si>
    <t>Se modificó el lienzo de la portada</t>
  </si>
  <si>
    <t>Se incorporaron filtros, tablas y medidas parametrizadas a  [Resultados generales]</t>
  </si>
  <si>
    <t>Se terminaron de editar detalles de configuración</t>
  </si>
  <si>
    <t>Se incorporó la fecha a la portada</t>
  </si>
  <si>
    <t>8.0</t>
  </si>
  <si>
    <t>7.4</t>
  </si>
  <si>
    <t>7.6</t>
  </si>
  <si>
    <t>7.8</t>
  </si>
  <si>
    <t>7.9</t>
  </si>
  <si>
    <t>Aprender 2017 - Tessmer.pbix</t>
  </si>
  <si>
    <t>Aprender 2017 - Tessmer (V2).pbix</t>
  </si>
  <si>
    <t>Aprender 2017 - Tessmer (V3).pbix</t>
  </si>
  <si>
    <t>Aprender 2017 - Tessmer (V4).pbix</t>
  </si>
  <si>
    <t>Aprender 2017 - Tessmer (V5).pbix</t>
  </si>
  <si>
    <t>Aprender 2017 - Tessmer (V6).pbix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</si>
</sst>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9"/>
      <color theme="1" tint="0.249977111117893"/>
      <name val="Calibri Light"/>
      <family val="2"/>
      <scheme val="major"/>
    </font>
    <font>
      <b/>
      <sz val="9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1" tint="0.249977111117893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  <scheme val="minor"/>
    </font>
    <font>
      <b/>
      <sz val="9"/>
      <color theme="1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D005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3E4879"/>
        <bgColor indexed="64"/>
      </patternFill>
    </fill>
    <fill>
      <patternFill patternType="solid">
        <fgColor rgb="FFF1D005"/>
        <bgColor rgb="FF1E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CE978"/>
        <bgColor indexed="64"/>
      </patternFill>
    </fill>
    <fill>
      <patternFill patternType="solid">
        <fgColor rgb="FF20315D"/>
        <bgColor indexed="64"/>
      </patternFill>
    </fill>
    <fill>
      <patternFill patternType="solid">
        <fgColor rgb="FFF3D005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auto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3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/>
    <xf numFmtId="0" fontId="2" fillId="3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0" fontId="9" fillId="6" borderId="0" xfId="0" applyFont="1" applyFill="1" applyAlignment="1">
      <alignment horizontal="center" vertical="center"/>
    </xf>
    <xf numFmtId="0" fontId="10" fillId="7" borderId="4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0" fillId="2" borderId="5" xfId="0" applyFill="1" applyBorder="1"/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3" fillId="0" borderId="0" xfId="0" applyFont="1" applyAlignment="1">
      <alignment wrapText="1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vertical="center"/>
    </xf>
    <xf numFmtId="0" fontId="7" fillId="4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5" borderId="8" xfId="0" applyFill="1" applyBorder="1" applyAlignment="1">
      <alignment horizontal="center" vertical="center"/>
    </xf>
    <xf numFmtId="0" fontId="0" fillId="5" borderId="8" xfId="0" applyFill="1" applyBorder="1" applyAlignment="1">
      <alignment vertical="center"/>
    </xf>
    <xf numFmtId="0" fontId="15" fillId="6" borderId="6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4" fillId="6" borderId="3" xfId="0" applyFont="1" applyFill="1" applyBorder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10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0" fillId="2" borderId="0" xfId="0" applyFont="1" applyFill="1" applyAlignment="1">
      <alignment horizontal="center" vertical="center" readingOrder="1"/>
    </xf>
    <xf numFmtId="0" fontId="21" fillId="2" borderId="0" xfId="0" applyFont="1" applyFill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5" borderId="2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9" xfId="0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F1F1"/>
      <color rgb="FFF3D005"/>
      <color rgb="FF3E4879"/>
      <color rgb="FF20315D"/>
      <color rgb="FFFCE978"/>
      <color rgb="FFF1D0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77D2-6875-4634-93B2-D88150F0E8D5}">
  <dimension ref="A1:E7"/>
  <sheetViews>
    <sheetView workbookViewId="0">
      <selection sqref="A1:E7"/>
    </sheetView>
  </sheetViews>
  <sheetFormatPr baseColWidth="10" defaultRowHeight="14.4" x14ac:dyDescent="0.3"/>
  <sheetData>
    <row r="1" spans="1:5" ht="15" thickBot="1" x14ac:dyDescent="0.35">
      <c r="A1" s="29"/>
      <c r="B1" s="29" t="s">
        <v>121</v>
      </c>
      <c r="C1" s="29" t="s">
        <v>122</v>
      </c>
      <c r="D1" s="29" t="s">
        <v>123</v>
      </c>
      <c r="E1" s="29" t="s">
        <v>124</v>
      </c>
    </row>
    <row r="2" spans="1:5" x14ac:dyDescent="0.3">
      <c r="A2" s="27" t="s">
        <v>125</v>
      </c>
      <c r="B2" s="27">
        <v>1</v>
      </c>
      <c r="C2" s="27">
        <v>2</v>
      </c>
      <c r="D2" s="27">
        <v>3</v>
      </c>
      <c r="E2" s="30" t="str">
        <f>_xlfn.CONCAT(B2,C2,D2)</f>
        <v>123</v>
      </c>
    </row>
    <row r="3" spans="1:5" x14ac:dyDescent="0.3">
      <c r="A3" s="27" t="s">
        <v>126</v>
      </c>
      <c r="B3" s="27">
        <v>2</v>
      </c>
      <c r="C3" s="27">
        <v>3</v>
      </c>
      <c r="D3" s="27">
        <v>1</v>
      </c>
      <c r="E3" s="27" t="str">
        <f t="shared" ref="E3:E7" si="0">_xlfn.CONCAT(B3,C3,D3)</f>
        <v>231</v>
      </c>
    </row>
    <row r="4" spans="1:5" x14ac:dyDescent="0.3">
      <c r="A4" s="27" t="s">
        <v>127</v>
      </c>
      <c r="B4" s="27">
        <v>3</v>
      </c>
      <c r="C4" s="27">
        <v>1</v>
      </c>
      <c r="D4" s="27">
        <v>2</v>
      </c>
      <c r="E4" s="27" t="str">
        <f t="shared" si="0"/>
        <v>312</v>
      </c>
    </row>
    <row r="5" spans="1:5" x14ac:dyDescent="0.3">
      <c r="A5" s="27" t="s">
        <v>128</v>
      </c>
      <c r="B5" s="27">
        <v>1</v>
      </c>
      <c r="C5" s="27">
        <v>2</v>
      </c>
      <c r="D5" s="27">
        <v>3</v>
      </c>
      <c r="E5" s="30" t="str">
        <f t="shared" si="0"/>
        <v>123</v>
      </c>
    </row>
    <row r="6" spans="1:5" x14ac:dyDescent="0.3">
      <c r="A6" s="27" t="s">
        <v>129</v>
      </c>
      <c r="B6" s="27">
        <v>2</v>
      </c>
      <c r="C6" s="27">
        <v>3</v>
      </c>
      <c r="D6" s="27">
        <v>2</v>
      </c>
      <c r="E6" s="27" t="str">
        <f t="shared" si="0"/>
        <v>232</v>
      </c>
    </row>
    <row r="7" spans="1:5" ht="15" thickBot="1" x14ac:dyDescent="0.35">
      <c r="A7" s="28" t="s">
        <v>130</v>
      </c>
      <c r="B7" s="28">
        <v>3</v>
      </c>
      <c r="C7" s="28">
        <v>1</v>
      </c>
      <c r="D7" s="28">
        <v>1</v>
      </c>
      <c r="E7" s="28" t="str">
        <f t="shared" si="0"/>
        <v>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5C51-36AD-4393-9EE3-1CC22EC922D3}">
  <dimension ref="A1:E26"/>
  <sheetViews>
    <sheetView workbookViewId="0">
      <selection activeCell="E26" sqref="E26"/>
    </sheetView>
  </sheetViews>
  <sheetFormatPr baseColWidth="10" defaultRowHeight="14.4" x14ac:dyDescent="0.3"/>
  <cols>
    <col min="1" max="1" width="14.44140625" customWidth="1"/>
    <col min="2" max="2" width="59.109375" bestFit="1" customWidth="1"/>
    <col min="3" max="3" width="27" customWidth="1"/>
    <col min="4" max="4" width="15.88671875" customWidth="1"/>
    <col min="5" max="5" width="24.109375" customWidth="1"/>
  </cols>
  <sheetData>
    <row r="1" spans="1:5" ht="29.4" thickBot="1" x14ac:dyDescent="0.35">
      <c r="A1" s="31" t="s">
        <v>131</v>
      </c>
      <c r="B1" s="31" t="s">
        <v>132</v>
      </c>
      <c r="C1" s="31" t="s">
        <v>133</v>
      </c>
      <c r="D1" s="31" t="s">
        <v>134</v>
      </c>
      <c r="E1" s="31" t="s">
        <v>135</v>
      </c>
    </row>
    <row r="2" spans="1:5" x14ac:dyDescent="0.3">
      <c r="A2" s="37" t="s">
        <v>136</v>
      </c>
      <c r="B2" s="12" t="s">
        <v>137</v>
      </c>
      <c r="C2" s="38" t="s">
        <v>138</v>
      </c>
      <c r="D2" s="27" t="s">
        <v>4</v>
      </c>
      <c r="E2" s="39" t="s">
        <v>139</v>
      </c>
    </row>
    <row r="3" spans="1:5" x14ac:dyDescent="0.3">
      <c r="A3" s="32" t="s">
        <v>140</v>
      </c>
      <c r="B3" s="33" t="s">
        <v>47</v>
      </c>
      <c r="C3" s="34" t="s">
        <v>138</v>
      </c>
      <c r="D3" s="35" t="s">
        <v>4</v>
      </c>
      <c r="E3" s="36" t="s">
        <v>47</v>
      </c>
    </row>
    <row r="4" spans="1:5" x14ac:dyDescent="0.3">
      <c r="A4" s="37" t="s">
        <v>141</v>
      </c>
      <c r="B4" s="12" t="s">
        <v>142</v>
      </c>
      <c r="C4" s="38" t="s">
        <v>143</v>
      </c>
      <c r="D4" s="27" t="s">
        <v>4</v>
      </c>
      <c r="E4" s="39" t="s">
        <v>83</v>
      </c>
    </row>
    <row r="5" spans="1:5" x14ac:dyDescent="0.3">
      <c r="A5" s="32" t="s">
        <v>144</v>
      </c>
      <c r="B5" s="33" t="s">
        <v>145</v>
      </c>
      <c r="C5" s="34" t="s">
        <v>143</v>
      </c>
      <c r="D5" s="35" t="s">
        <v>4</v>
      </c>
      <c r="E5" s="36" t="s">
        <v>85</v>
      </c>
    </row>
    <row r="6" spans="1:5" x14ac:dyDescent="0.3">
      <c r="A6" s="37" t="s">
        <v>146</v>
      </c>
      <c r="B6" s="12" t="s">
        <v>147</v>
      </c>
      <c r="C6" s="38" t="s">
        <v>143</v>
      </c>
      <c r="D6" s="27" t="s">
        <v>4</v>
      </c>
      <c r="E6" s="39" t="s">
        <v>84</v>
      </c>
    </row>
    <row r="7" spans="1:5" x14ac:dyDescent="0.3">
      <c r="A7" s="32" t="s">
        <v>87</v>
      </c>
      <c r="B7" s="33" t="s">
        <v>148</v>
      </c>
      <c r="C7" s="34" t="s">
        <v>149</v>
      </c>
      <c r="D7" s="35" t="s">
        <v>4</v>
      </c>
      <c r="E7" s="36" t="str">
        <f t="shared" ref="E7:E9" si="0">A7</f>
        <v>ponder</v>
      </c>
    </row>
    <row r="8" spans="1:5" x14ac:dyDescent="0.3">
      <c r="A8" s="37" t="s">
        <v>5</v>
      </c>
      <c r="B8" s="12" t="s">
        <v>150</v>
      </c>
      <c r="C8" s="38" t="s">
        <v>149</v>
      </c>
      <c r="D8" s="27" t="s">
        <v>4</v>
      </c>
      <c r="E8" s="39" t="str">
        <f t="shared" si="0"/>
        <v>lpondera</v>
      </c>
    </row>
    <row r="9" spans="1:5" x14ac:dyDescent="0.3">
      <c r="A9" s="32" t="s">
        <v>8</v>
      </c>
      <c r="B9" s="33" t="s">
        <v>151</v>
      </c>
      <c r="C9" s="34" t="s">
        <v>149</v>
      </c>
      <c r="D9" s="35" t="s">
        <v>4</v>
      </c>
      <c r="E9" s="36" t="str">
        <f t="shared" si="0"/>
        <v>mpondera</v>
      </c>
    </row>
    <row r="10" spans="1:5" x14ac:dyDescent="0.3">
      <c r="A10" s="37" t="s">
        <v>152</v>
      </c>
      <c r="B10" s="12" t="s">
        <v>153</v>
      </c>
      <c r="C10" s="38" t="s">
        <v>149</v>
      </c>
      <c r="D10" s="27" t="s">
        <v>4</v>
      </c>
      <c r="E10" s="39" t="s">
        <v>11</v>
      </c>
    </row>
    <row r="11" spans="1:5" x14ac:dyDescent="0.3">
      <c r="A11" s="32" t="s">
        <v>154</v>
      </c>
      <c r="B11" s="33" t="s">
        <v>155</v>
      </c>
      <c r="C11" s="34" t="s">
        <v>149</v>
      </c>
      <c r="D11" s="35" t="s">
        <v>4</v>
      </c>
      <c r="E11" s="36" t="s">
        <v>12</v>
      </c>
    </row>
    <row r="12" spans="1:5" x14ac:dyDescent="0.3">
      <c r="A12" s="37" t="s">
        <v>92</v>
      </c>
      <c r="B12" s="12" t="s">
        <v>156</v>
      </c>
      <c r="C12" s="38" t="s">
        <v>157</v>
      </c>
      <c r="D12" s="27" t="s">
        <v>158</v>
      </c>
      <c r="E12" s="39" t="s">
        <v>92</v>
      </c>
    </row>
    <row r="13" spans="1:5" x14ac:dyDescent="0.3">
      <c r="A13" s="32" t="s">
        <v>91</v>
      </c>
      <c r="B13" s="33" t="s">
        <v>159</v>
      </c>
      <c r="C13" s="34" t="s">
        <v>157</v>
      </c>
      <c r="D13" s="35" t="s">
        <v>158</v>
      </c>
      <c r="E13" s="36" t="s">
        <v>91</v>
      </c>
    </row>
    <row r="14" spans="1:5" x14ac:dyDescent="0.3">
      <c r="A14" s="37" t="s">
        <v>96</v>
      </c>
      <c r="B14" s="12" t="s">
        <v>160</v>
      </c>
      <c r="C14" s="38" t="s">
        <v>157</v>
      </c>
      <c r="D14" s="27" t="s">
        <v>158</v>
      </c>
      <c r="E14" s="39" t="s">
        <v>96</v>
      </c>
    </row>
    <row r="15" spans="1:5" x14ac:dyDescent="0.3">
      <c r="A15" s="32" t="s">
        <v>93</v>
      </c>
      <c r="B15" s="33" t="s">
        <v>161</v>
      </c>
      <c r="C15" s="34" t="s">
        <v>157</v>
      </c>
      <c r="D15" s="35" t="s">
        <v>158</v>
      </c>
      <c r="E15" s="36" t="s">
        <v>93</v>
      </c>
    </row>
    <row r="16" spans="1:5" x14ac:dyDescent="0.3">
      <c r="A16" s="37" t="s">
        <v>95</v>
      </c>
      <c r="B16" s="12" t="s">
        <v>162</v>
      </c>
      <c r="C16" s="38" t="s">
        <v>157</v>
      </c>
      <c r="D16" s="27" t="s">
        <v>158</v>
      </c>
      <c r="E16" s="39" t="s">
        <v>95</v>
      </c>
    </row>
    <row r="17" spans="1:5" x14ac:dyDescent="0.3">
      <c r="A17" s="32" t="s">
        <v>94</v>
      </c>
      <c r="B17" s="33" t="s">
        <v>163</v>
      </c>
      <c r="C17" s="34" t="s">
        <v>157</v>
      </c>
      <c r="D17" s="35" t="s">
        <v>158</v>
      </c>
      <c r="E17" s="36" t="s">
        <v>94</v>
      </c>
    </row>
    <row r="18" spans="1:5" x14ac:dyDescent="0.3">
      <c r="A18" s="37" t="s">
        <v>164</v>
      </c>
      <c r="B18" s="12" t="s">
        <v>165</v>
      </c>
      <c r="C18" s="38" t="s">
        <v>166</v>
      </c>
      <c r="D18" s="27" t="s">
        <v>167</v>
      </c>
      <c r="E18" s="39" t="s">
        <v>70</v>
      </c>
    </row>
    <row r="19" spans="1:5" x14ac:dyDescent="0.3">
      <c r="A19" s="32" t="s">
        <v>168</v>
      </c>
      <c r="B19" s="33" t="s">
        <v>169</v>
      </c>
      <c r="C19" s="34" t="s">
        <v>166</v>
      </c>
      <c r="D19" s="35" t="s">
        <v>167</v>
      </c>
      <c r="E19" s="36" t="s">
        <v>69</v>
      </c>
    </row>
    <row r="20" spans="1:5" x14ac:dyDescent="0.3">
      <c r="A20" s="37" t="s">
        <v>170</v>
      </c>
      <c r="B20" s="12" t="s">
        <v>171</v>
      </c>
      <c r="C20" s="38" t="s">
        <v>172</v>
      </c>
      <c r="D20" s="27" t="s">
        <v>167</v>
      </c>
      <c r="E20" s="39" t="s">
        <v>14</v>
      </c>
    </row>
    <row r="21" spans="1:5" x14ac:dyDescent="0.3">
      <c r="A21" s="32" t="s">
        <v>173</v>
      </c>
      <c r="B21" s="33" t="s">
        <v>174</v>
      </c>
      <c r="C21" s="34" t="s">
        <v>172</v>
      </c>
      <c r="D21" s="35" t="s">
        <v>167</v>
      </c>
      <c r="E21" s="36" t="s">
        <v>65</v>
      </c>
    </row>
    <row r="22" spans="1:5" x14ac:dyDescent="0.3">
      <c r="A22" s="37" t="s">
        <v>66</v>
      </c>
      <c r="B22" s="12" t="s">
        <v>175</v>
      </c>
      <c r="C22" s="38" t="s">
        <v>172</v>
      </c>
      <c r="D22" s="27" t="s">
        <v>167</v>
      </c>
      <c r="E22" s="39" t="s">
        <v>66</v>
      </c>
    </row>
    <row r="23" spans="1:5" x14ac:dyDescent="0.3">
      <c r="A23" s="32" t="s">
        <v>176</v>
      </c>
      <c r="B23" s="33" t="s">
        <v>177</v>
      </c>
      <c r="C23" s="34" t="s">
        <v>172</v>
      </c>
      <c r="D23" s="35" t="s">
        <v>167</v>
      </c>
      <c r="E23" s="36" t="s">
        <v>176</v>
      </c>
    </row>
    <row r="24" spans="1:5" x14ac:dyDescent="0.3">
      <c r="A24" s="37" t="s">
        <v>178</v>
      </c>
      <c r="B24" s="12" t="s">
        <v>179</v>
      </c>
      <c r="C24" s="38" t="s">
        <v>172</v>
      </c>
      <c r="D24" s="27" t="s">
        <v>167</v>
      </c>
      <c r="E24" s="39" t="s">
        <v>178</v>
      </c>
    </row>
    <row r="25" spans="1:5" x14ac:dyDescent="0.3">
      <c r="A25" s="32" t="s">
        <v>180</v>
      </c>
      <c r="B25" s="33" t="s">
        <v>181</v>
      </c>
      <c r="C25" s="34" t="s">
        <v>157</v>
      </c>
      <c r="D25" s="35" t="s">
        <v>182</v>
      </c>
      <c r="E25" s="36" t="s">
        <v>183</v>
      </c>
    </row>
    <row r="26" spans="1:5" ht="15" thickBot="1" x14ac:dyDescent="0.35">
      <c r="A26" s="40" t="s">
        <v>184</v>
      </c>
      <c r="B26" s="41" t="s">
        <v>185</v>
      </c>
      <c r="C26" s="42" t="s">
        <v>138</v>
      </c>
      <c r="D26" s="43" t="s">
        <v>186</v>
      </c>
      <c r="E26" s="44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5F93-F35E-40C4-B1D5-524E600111F0}">
  <dimension ref="A1:K161"/>
  <sheetViews>
    <sheetView zoomScale="120" zoomScaleNormal="120" workbookViewId="0">
      <selection activeCell="A143" sqref="A143:C156"/>
    </sheetView>
  </sheetViews>
  <sheetFormatPr baseColWidth="10" defaultColWidth="14" defaultRowHeight="12" x14ac:dyDescent="0.25"/>
  <cols>
    <col min="1" max="1" width="20.5546875" style="46" customWidth="1"/>
    <col min="2" max="2" width="28" style="47" customWidth="1"/>
    <col min="3" max="3" width="33" style="45" bestFit="1" customWidth="1"/>
    <col min="4" max="16384" width="14" style="45"/>
  </cols>
  <sheetData>
    <row r="1" spans="1:4" ht="17.25" customHeight="1" thickBot="1" x14ac:dyDescent="0.3">
      <c r="A1" s="126" t="s">
        <v>88</v>
      </c>
      <c r="B1" s="126"/>
      <c r="C1" s="126"/>
      <c r="D1" s="66"/>
    </row>
    <row r="2" spans="1:4" s="48" customFormat="1" ht="16.5" customHeight="1" thickBot="1" x14ac:dyDescent="0.35">
      <c r="A2" s="21" t="s">
        <v>131</v>
      </c>
      <c r="B2" s="21" t="s">
        <v>278</v>
      </c>
      <c r="C2" s="21" t="s">
        <v>279</v>
      </c>
      <c r="D2" s="51"/>
    </row>
    <row r="3" spans="1:4" s="48" customFormat="1" ht="12" customHeight="1" x14ac:dyDescent="0.3">
      <c r="A3" s="123" t="s">
        <v>81</v>
      </c>
      <c r="B3" s="120" t="s">
        <v>225</v>
      </c>
      <c r="C3" s="58" t="s">
        <v>226</v>
      </c>
      <c r="D3" s="51"/>
    </row>
    <row r="4" spans="1:4" s="48" customFormat="1" ht="12" customHeight="1" x14ac:dyDescent="0.3">
      <c r="A4" s="124"/>
      <c r="B4" s="121"/>
      <c r="C4" s="61" t="s">
        <v>227</v>
      </c>
      <c r="D4" s="51"/>
    </row>
    <row r="5" spans="1:4" s="48" customFormat="1" ht="12" customHeight="1" x14ac:dyDescent="0.3">
      <c r="A5" s="124"/>
      <c r="B5" s="121"/>
      <c r="C5" s="52" t="s">
        <v>13</v>
      </c>
      <c r="D5" s="51"/>
    </row>
    <row r="6" spans="1:4" s="48" customFormat="1" ht="12" customHeight="1" x14ac:dyDescent="0.3">
      <c r="A6" s="124"/>
      <c r="B6" s="121"/>
      <c r="C6" s="61" t="s">
        <v>223</v>
      </c>
      <c r="D6" s="51"/>
    </row>
    <row r="7" spans="1:4" s="48" customFormat="1" ht="12" customHeight="1" thickBot="1" x14ac:dyDescent="0.35">
      <c r="A7" s="125"/>
      <c r="B7" s="122"/>
      <c r="C7" s="53" t="s">
        <v>224</v>
      </c>
      <c r="D7" s="51"/>
    </row>
    <row r="8" spans="1:4" s="48" customFormat="1" ht="12" customHeight="1" x14ac:dyDescent="0.3">
      <c r="A8" s="123" t="s">
        <v>82</v>
      </c>
      <c r="B8" s="120" t="s">
        <v>137</v>
      </c>
      <c r="C8" s="58" t="s">
        <v>218</v>
      </c>
      <c r="D8" s="51"/>
    </row>
    <row r="9" spans="1:4" s="48" customFormat="1" ht="12" customHeight="1" x14ac:dyDescent="0.3">
      <c r="A9" s="124"/>
      <c r="B9" s="121"/>
      <c r="C9" s="61" t="s">
        <v>219</v>
      </c>
      <c r="D9" s="51"/>
    </row>
    <row r="10" spans="1:4" s="48" customFormat="1" ht="12" customHeight="1" x14ac:dyDescent="0.3">
      <c r="A10" s="124"/>
      <c r="B10" s="121"/>
      <c r="C10" s="52" t="s">
        <v>220</v>
      </c>
      <c r="D10" s="51"/>
    </row>
    <row r="11" spans="1:4" s="48" customFormat="1" ht="12" customHeight="1" x14ac:dyDescent="0.3">
      <c r="A11" s="124"/>
      <c r="B11" s="121"/>
      <c r="C11" s="61" t="s">
        <v>221</v>
      </c>
      <c r="D11" s="51"/>
    </row>
    <row r="12" spans="1:4" s="48" customFormat="1" ht="12" customHeight="1" x14ac:dyDescent="0.3">
      <c r="A12" s="124"/>
      <c r="B12" s="121"/>
      <c r="C12" s="52" t="s">
        <v>222</v>
      </c>
      <c r="D12" s="51"/>
    </row>
    <row r="13" spans="1:4" s="48" customFormat="1" ht="12" customHeight="1" x14ac:dyDescent="0.3">
      <c r="A13" s="124"/>
      <c r="B13" s="121"/>
      <c r="C13" s="61" t="s">
        <v>13</v>
      </c>
      <c r="D13" s="51"/>
    </row>
    <row r="14" spans="1:4" s="48" customFormat="1" ht="12" customHeight="1" x14ac:dyDescent="0.3">
      <c r="A14" s="124"/>
      <c r="B14" s="121"/>
      <c r="C14" s="52" t="s">
        <v>223</v>
      </c>
      <c r="D14" s="51"/>
    </row>
    <row r="15" spans="1:4" s="48" customFormat="1" ht="12" customHeight="1" thickBot="1" x14ac:dyDescent="0.35">
      <c r="A15" s="125"/>
      <c r="B15" s="122"/>
      <c r="C15" s="62" t="s">
        <v>224</v>
      </c>
      <c r="D15" s="51"/>
    </row>
    <row r="16" spans="1:4" s="48" customFormat="1" ht="12" customHeight="1" x14ac:dyDescent="0.3">
      <c r="A16" s="123" t="s">
        <v>83</v>
      </c>
      <c r="B16" s="120" t="s">
        <v>142</v>
      </c>
      <c r="C16" s="61" t="s">
        <v>237</v>
      </c>
      <c r="D16" s="51"/>
    </row>
    <row r="17" spans="1:4" s="48" customFormat="1" ht="12" customHeight="1" x14ac:dyDescent="0.3">
      <c r="A17" s="124"/>
      <c r="B17" s="121"/>
      <c r="C17" s="52" t="s">
        <v>238</v>
      </c>
      <c r="D17" s="51"/>
    </row>
    <row r="18" spans="1:4" s="48" customFormat="1" ht="12" customHeight="1" x14ac:dyDescent="0.3">
      <c r="A18" s="124"/>
      <c r="B18" s="121"/>
      <c r="C18" s="61" t="s">
        <v>13</v>
      </c>
      <c r="D18" s="51"/>
    </row>
    <row r="19" spans="1:4" s="48" customFormat="1" ht="12" customHeight="1" x14ac:dyDescent="0.3">
      <c r="A19" s="124"/>
      <c r="B19" s="121"/>
      <c r="C19" s="52" t="s">
        <v>223</v>
      </c>
      <c r="D19" s="51"/>
    </row>
    <row r="20" spans="1:4" s="48" customFormat="1" ht="12" customHeight="1" thickBot="1" x14ac:dyDescent="0.35">
      <c r="A20" s="125"/>
      <c r="B20" s="122"/>
      <c r="C20" s="62" t="s">
        <v>224</v>
      </c>
      <c r="D20" s="51"/>
    </row>
    <row r="21" spans="1:4" s="48" customFormat="1" ht="12" customHeight="1" x14ac:dyDescent="0.3">
      <c r="A21" s="123" t="s">
        <v>84</v>
      </c>
      <c r="B21" s="120" t="s">
        <v>147</v>
      </c>
      <c r="C21" s="52" t="s">
        <v>246</v>
      </c>
      <c r="D21" s="51"/>
    </row>
    <row r="22" spans="1:4" s="48" customFormat="1" ht="12" customHeight="1" x14ac:dyDescent="0.3">
      <c r="A22" s="124"/>
      <c r="B22" s="121"/>
      <c r="C22" s="61" t="s">
        <v>247</v>
      </c>
      <c r="D22" s="51"/>
    </row>
    <row r="23" spans="1:4" s="48" customFormat="1" ht="12" customHeight="1" x14ac:dyDescent="0.3">
      <c r="A23" s="124"/>
      <c r="B23" s="121"/>
      <c r="C23" s="52" t="s">
        <v>238</v>
      </c>
      <c r="D23" s="51"/>
    </row>
    <row r="24" spans="1:4" s="48" customFormat="1" ht="12" customHeight="1" x14ac:dyDescent="0.3">
      <c r="A24" s="124"/>
      <c r="B24" s="121"/>
      <c r="C24" s="61" t="s">
        <v>13</v>
      </c>
      <c r="D24" s="51"/>
    </row>
    <row r="25" spans="1:4" s="48" customFormat="1" ht="12" customHeight="1" x14ac:dyDescent="0.3">
      <c r="A25" s="124"/>
      <c r="B25" s="121"/>
      <c r="C25" s="52" t="s">
        <v>223</v>
      </c>
      <c r="D25" s="51"/>
    </row>
    <row r="26" spans="1:4" s="48" customFormat="1" ht="12" customHeight="1" thickBot="1" x14ac:dyDescent="0.35">
      <c r="A26" s="125"/>
      <c r="B26" s="122"/>
      <c r="C26" s="62" t="s">
        <v>224</v>
      </c>
      <c r="D26" s="51"/>
    </row>
    <row r="27" spans="1:4" s="48" customFormat="1" ht="12" customHeight="1" x14ac:dyDescent="0.3">
      <c r="A27" s="123" t="s">
        <v>85</v>
      </c>
      <c r="B27" s="120" t="s">
        <v>145</v>
      </c>
      <c r="C27" s="61" t="s">
        <v>237</v>
      </c>
      <c r="D27" s="51"/>
    </row>
    <row r="28" spans="1:4" s="48" customFormat="1" ht="12" customHeight="1" x14ac:dyDescent="0.3">
      <c r="A28" s="124"/>
      <c r="B28" s="121"/>
      <c r="C28" s="52" t="s">
        <v>238</v>
      </c>
      <c r="D28" s="51"/>
    </row>
    <row r="29" spans="1:4" s="48" customFormat="1" ht="12" customHeight="1" x14ac:dyDescent="0.3">
      <c r="A29" s="124"/>
      <c r="B29" s="121"/>
      <c r="C29" s="61" t="s">
        <v>13</v>
      </c>
      <c r="D29" s="51"/>
    </row>
    <row r="30" spans="1:4" s="48" customFormat="1" ht="12" customHeight="1" x14ac:dyDescent="0.3">
      <c r="A30" s="124"/>
      <c r="B30" s="121"/>
      <c r="C30" s="52" t="s">
        <v>223</v>
      </c>
      <c r="D30" s="51"/>
    </row>
    <row r="31" spans="1:4" s="48" customFormat="1" ht="12" customHeight="1" thickBot="1" x14ac:dyDescent="0.35">
      <c r="A31" s="125"/>
      <c r="B31" s="122"/>
      <c r="C31" s="62" t="s">
        <v>224</v>
      </c>
      <c r="D31" s="51"/>
    </row>
    <row r="32" spans="1:4" s="48" customFormat="1" ht="15.6" customHeight="1" thickBot="1" x14ac:dyDescent="0.35">
      <c r="A32" s="59" t="s">
        <v>11</v>
      </c>
      <c r="B32" s="60" t="s">
        <v>153</v>
      </c>
      <c r="C32" s="65"/>
      <c r="D32" s="51"/>
    </row>
    <row r="33" spans="1:11" s="48" customFormat="1" ht="15.6" customHeight="1" thickBot="1" x14ac:dyDescent="0.35">
      <c r="A33" s="59" t="s">
        <v>12</v>
      </c>
      <c r="B33" s="60" t="s">
        <v>155</v>
      </c>
      <c r="C33" s="65"/>
      <c r="D33" s="51"/>
    </row>
    <row r="34" spans="1:11" s="48" customFormat="1" ht="15.6" customHeight="1" thickBot="1" x14ac:dyDescent="0.35">
      <c r="A34" s="59" t="s">
        <v>87</v>
      </c>
      <c r="B34" s="60" t="s">
        <v>280</v>
      </c>
      <c r="C34" s="65"/>
      <c r="D34" s="51"/>
    </row>
    <row r="35" spans="1:11" s="48" customFormat="1" ht="15.6" customHeight="1" thickBot="1" x14ac:dyDescent="0.35">
      <c r="A35" s="59" t="s">
        <v>5</v>
      </c>
      <c r="B35" s="60" t="s">
        <v>150</v>
      </c>
      <c r="C35" s="65"/>
      <c r="D35" s="51"/>
    </row>
    <row r="36" spans="1:11" s="48" customFormat="1" ht="15.6" customHeight="1" thickBot="1" x14ac:dyDescent="0.35">
      <c r="A36" s="59" t="s">
        <v>8</v>
      </c>
      <c r="B36" s="60" t="s">
        <v>151</v>
      </c>
      <c r="C36" s="65"/>
      <c r="D36" s="51"/>
    </row>
    <row r="37" spans="1:11" x14ac:dyDescent="0.25">
      <c r="D37" s="66"/>
    </row>
    <row r="38" spans="1:11" s="48" customFormat="1" ht="12" customHeight="1" x14ac:dyDescent="0.3">
      <c r="A38" s="46"/>
      <c r="B38" s="47"/>
      <c r="D38" s="51"/>
    </row>
    <row r="39" spans="1:11" s="48" customFormat="1" ht="12" customHeight="1" x14ac:dyDescent="0.3">
      <c r="A39" s="46"/>
      <c r="B39" s="47"/>
      <c r="D39" s="51"/>
    </row>
    <row r="40" spans="1:11" s="48" customFormat="1" ht="12" customHeight="1" thickBot="1" x14ac:dyDescent="0.35">
      <c r="A40" s="46"/>
      <c r="B40" s="47"/>
      <c r="D40" s="51"/>
    </row>
    <row r="41" spans="1:11" s="48" customFormat="1" ht="17.25" customHeight="1" thickBot="1" x14ac:dyDescent="0.35">
      <c r="A41" s="126" t="s">
        <v>74</v>
      </c>
      <c r="B41" s="126"/>
      <c r="C41" s="126"/>
      <c r="D41" s="51"/>
    </row>
    <row r="42" spans="1:11" s="48" customFormat="1" ht="16.5" customHeight="1" thickBot="1" x14ac:dyDescent="0.35">
      <c r="A42" s="21" t="s">
        <v>131</v>
      </c>
      <c r="B42" s="21" t="s">
        <v>278</v>
      </c>
      <c r="C42" s="21" t="s">
        <v>279</v>
      </c>
      <c r="D42" s="51"/>
    </row>
    <row r="43" spans="1:11" s="48" customFormat="1" ht="12" customHeight="1" x14ac:dyDescent="0.3">
      <c r="A43" s="123" t="s">
        <v>14</v>
      </c>
      <c r="B43" s="120" t="s">
        <v>171</v>
      </c>
      <c r="C43" s="50" t="s">
        <v>239</v>
      </c>
      <c r="D43" s="51"/>
    </row>
    <row r="44" spans="1:11" s="48" customFormat="1" ht="12" customHeight="1" x14ac:dyDescent="0.3">
      <c r="A44" s="124"/>
      <c r="B44" s="121"/>
      <c r="C44" s="49" t="s">
        <v>240</v>
      </c>
      <c r="D44" s="51"/>
    </row>
    <row r="45" spans="1:11" s="48" customFormat="1" ht="12" customHeight="1" x14ac:dyDescent="0.3">
      <c r="A45" s="124"/>
      <c r="B45" s="121"/>
      <c r="C45" s="51" t="s">
        <v>241</v>
      </c>
      <c r="D45" s="51"/>
    </row>
    <row r="46" spans="1:11" s="48" customFormat="1" ht="12" customHeight="1" x14ac:dyDescent="0.3">
      <c r="A46" s="124"/>
      <c r="B46" s="121"/>
      <c r="C46" s="49" t="s">
        <v>242</v>
      </c>
      <c r="D46" s="51"/>
    </row>
    <row r="47" spans="1:11" s="48" customFormat="1" ht="12" customHeight="1" x14ac:dyDescent="0.3">
      <c r="A47" s="124"/>
      <c r="B47" s="121"/>
      <c r="C47" s="51" t="s">
        <v>243</v>
      </c>
      <c r="D47" s="51"/>
    </row>
    <row r="48" spans="1:11" s="48" customFormat="1" ht="12" customHeight="1" x14ac:dyDescent="0.3">
      <c r="A48" s="124"/>
      <c r="B48" s="121"/>
      <c r="C48" s="49" t="s">
        <v>244</v>
      </c>
      <c r="D48" s="51"/>
      <c r="I48"/>
      <c r="J48"/>
      <c r="K48"/>
    </row>
    <row r="49" spans="1:11" s="48" customFormat="1" ht="12" customHeight="1" x14ac:dyDescent="0.3">
      <c r="A49" s="124"/>
      <c r="B49" s="121"/>
      <c r="C49" s="51" t="s">
        <v>245</v>
      </c>
      <c r="D49" s="51"/>
      <c r="I49"/>
      <c r="J49"/>
      <c r="K49"/>
    </row>
    <row r="50" spans="1:11" s="48" customFormat="1" ht="12" customHeight="1" x14ac:dyDescent="0.3">
      <c r="A50" s="124"/>
      <c r="B50" s="121"/>
      <c r="C50" s="49" t="s">
        <v>236</v>
      </c>
      <c r="D50" s="51"/>
      <c r="I50"/>
      <c r="J50"/>
      <c r="K50"/>
    </row>
    <row r="51" spans="1:11" s="48" customFormat="1" ht="12" customHeight="1" x14ac:dyDescent="0.3">
      <c r="A51" s="124"/>
      <c r="B51" s="121"/>
      <c r="C51" s="51" t="s">
        <v>13</v>
      </c>
      <c r="D51" s="51"/>
      <c r="I51"/>
      <c r="J51"/>
      <c r="K51"/>
    </row>
    <row r="52" spans="1:11" s="48" customFormat="1" ht="12" customHeight="1" x14ac:dyDescent="0.3">
      <c r="A52" s="124"/>
      <c r="B52" s="121"/>
      <c r="C52" s="49" t="s">
        <v>223</v>
      </c>
      <c r="D52" s="51"/>
      <c r="I52"/>
      <c r="J52"/>
      <c r="K52"/>
    </row>
    <row r="53" spans="1:11" s="48" customFormat="1" ht="12" customHeight="1" thickBot="1" x14ac:dyDescent="0.35">
      <c r="A53" s="125"/>
      <c r="B53" s="122"/>
      <c r="C53" s="53" t="s">
        <v>224</v>
      </c>
      <c r="D53" s="51"/>
    </row>
    <row r="54" spans="1:11" s="48" customFormat="1" ht="12" customHeight="1" x14ac:dyDescent="0.3">
      <c r="A54" s="123" t="s">
        <v>65</v>
      </c>
      <c r="B54" s="120" t="s">
        <v>174</v>
      </c>
      <c r="C54" s="50" t="s">
        <v>239</v>
      </c>
      <c r="D54" s="51"/>
    </row>
    <row r="55" spans="1:11" s="48" customFormat="1" ht="12" customHeight="1" x14ac:dyDescent="0.3">
      <c r="A55" s="124"/>
      <c r="B55" s="121"/>
      <c r="C55" s="49" t="s">
        <v>240</v>
      </c>
      <c r="D55" s="51"/>
    </row>
    <row r="56" spans="1:11" s="48" customFormat="1" ht="12" customHeight="1" x14ac:dyDescent="0.3">
      <c r="A56" s="124"/>
      <c r="B56" s="121"/>
      <c r="C56" s="51" t="s">
        <v>241</v>
      </c>
      <c r="D56" s="51"/>
    </row>
    <row r="57" spans="1:11" s="48" customFormat="1" ht="12" customHeight="1" x14ac:dyDescent="0.3">
      <c r="A57" s="124"/>
      <c r="B57" s="121"/>
      <c r="C57" s="49" t="s">
        <v>242</v>
      </c>
      <c r="D57" s="51"/>
    </row>
    <row r="58" spans="1:11" s="48" customFormat="1" ht="12" customHeight="1" x14ac:dyDescent="0.3">
      <c r="A58" s="124"/>
      <c r="B58" s="121"/>
      <c r="C58" s="51" t="s">
        <v>243</v>
      </c>
      <c r="D58" s="51"/>
    </row>
    <row r="59" spans="1:11" s="48" customFormat="1" ht="12" customHeight="1" x14ac:dyDescent="0.3">
      <c r="A59" s="124"/>
      <c r="B59" s="121"/>
      <c r="C59" s="49" t="s">
        <v>244</v>
      </c>
      <c r="D59" s="51"/>
    </row>
    <row r="60" spans="1:11" s="48" customFormat="1" ht="12" customHeight="1" x14ac:dyDescent="0.3">
      <c r="A60" s="124"/>
      <c r="B60" s="121"/>
      <c r="C60" s="51" t="s">
        <v>245</v>
      </c>
      <c r="D60" s="51"/>
    </row>
    <row r="61" spans="1:11" s="48" customFormat="1" ht="12" customHeight="1" x14ac:dyDescent="0.3">
      <c r="A61" s="124"/>
      <c r="B61" s="121"/>
      <c r="C61" s="49" t="s">
        <v>236</v>
      </c>
      <c r="D61" s="51"/>
    </row>
    <row r="62" spans="1:11" s="48" customFormat="1" ht="12" customHeight="1" x14ac:dyDescent="0.3">
      <c r="A62" s="124"/>
      <c r="B62" s="121"/>
      <c r="C62" s="51" t="s">
        <v>13</v>
      </c>
      <c r="D62" s="51"/>
    </row>
    <row r="63" spans="1:11" s="48" customFormat="1" ht="12" customHeight="1" x14ac:dyDescent="0.3">
      <c r="A63" s="124"/>
      <c r="B63" s="121"/>
      <c r="C63" s="49" t="s">
        <v>223</v>
      </c>
      <c r="D63" s="51"/>
    </row>
    <row r="64" spans="1:11" s="48" customFormat="1" ht="12" customHeight="1" thickBot="1" x14ac:dyDescent="0.35">
      <c r="A64" s="125"/>
      <c r="B64" s="122"/>
      <c r="C64" s="53" t="s">
        <v>224</v>
      </c>
      <c r="D64" s="51"/>
    </row>
    <row r="65" spans="1:4" s="48" customFormat="1" ht="12" customHeight="1" x14ac:dyDescent="0.3">
      <c r="A65" s="123" t="s">
        <v>66</v>
      </c>
      <c r="B65" s="120" t="s">
        <v>175</v>
      </c>
      <c r="C65" s="49" t="s">
        <v>275</v>
      </c>
      <c r="D65" s="51"/>
    </row>
    <row r="66" spans="1:4" s="48" customFormat="1" ht="12" customHeight="1" x14ac:dyDescent="0.3">
      <c r="A66" s="124"/>
      <c r="B66" s="121"/>
      <c r="C66" s="51" t="s">
        <v>276</v>
      </c>
      <c r="D66" s="51"/>
    </row>
    <row r="67" spans="1:4" s="48" customFormat="1" ht="12" customHeight="1" x14ac:dyDescent="0.3">
      <c r="A67" s="124"/>
      <c r="B67" s="121"/>
      <c r="C67" s="49" t="s">
        <v>277</v>
      </c>
      <c r="D67" s="51"/>
    </row>
    <row r="68" spans="1:4" s="48" customFormat="1" ht="12" customHeight="1" thickBot="1" x14ac:dyDescent="0.35">
      <c r="A68" s="125"/>
      <c r="B68" s="122"/>
      <c r="C68" s="51" t="s">
        <v>13</v>
      </c>
      <c r="D68" s="51"/>
    </row>
    <row r="69" spans="1:4" s="48" customFormat="1" ht="12" customHeight="1" x14ac:dyDescent="0.3">
      <c r="A69" s="123" t="s">
        <v>176</v>
      </c>
      <c r="B69" s="120" t="s">
        <v>177</v>
      </c>
      <c r="C69" s="55" t="s">
        <v>275</v>
      </c>
      <c r="D69" s="51"/>
    </row>
    <row r="70" spans="1:4" s="48" customFormat="1" ht="12" customHeight="1" x14ac:dyDescent="0.3">
      <c r="A70" s="124"/>
      <c r="B70" s="121"/>
      <c r="C70" s="51" t="s">
        <v>276</v>
      </c>
      <c r="D70" s="51"/>
    </row>
    <row r="71" spans="1:4" s="48" customFormat="1" ht="12" customHeight="1" x14ac:dyDescent="0.3">
      <c r="A71" s="124"/>
      <c r="B71" s="121"/>
      <c r="C71" s="49" t="s">
        <v>277</v>
      </c>
      <c r="D71" s="51"/>
    </row>
    <row r="72" spans="1:4" s="48" customFormat="1" ht="12" customHeight="1" thickBot="1" x14ac:dyDescent="0.35">
      <c r="A72" s="125"/>
      <c r="B72" s="122"/>
      <c r="C72" s="56" t="s">
        <v>13</v>
      </c>
      <c r="D72" s="51"/>
    </row>
    <row r="73" spans="1:4" s="48" customFormat="1" ht="12" customHeight="1" x14ac:dyDescent="0.3">
      <c r="A73" s="123" t="s">
        <v>178</v>
      </c>
      <c r="B73" s="120" t="s">
        <v>179</v>
      </c>
      <c r="C73" s="49" t="s">
        <v>275</v>
      </c>
      <c r="D73" s="51"/>
    </row>
    <row r="74" spans="1:4" s="48" customFormat="1" ht="12" customHeight="1" x14ac:dyDescent="0.3">
      <c r="A74" s="124"/>
      <c r="B74" s="121"/>
      <c r="C74" s="51" t="s">
        <v>276</v>
      </c>
      <c r="D74" s="51"/>
    </row>
    <row r="75" spans="1:4" s="48" customFormat="1" ht="12" customHeight="1" x14ac:dyDescent="0.3">
      <c r="A75" s="124"/>
      <c r="B75" s="121"/>
      <c r="C75" s="49" t="s">
        <v>277</v>
      </c>
      <c r="D75" s="51"/>
    </row>
    <row r="76" spans="1:4" s="48" customFormat="1" ht="12" customHeight="1" thickBot="1" x14ac:dyDescent="0.35">
      <c r="A76" s="125"/>
      <c r="B76" s="122"/>
      <c r="C76" s="51" t="s">
        <v>13</v>
      </c>
      <c r="D76" s="51"/>
    </row>
    <row r="77" spans="1:4" s="48" customFormat="1" ht="12" customHeight="1" x14ac:dyDescent="0.3">
      <c r="A77" s="123" t="s">
        <v>69</v>
      </c>
      <c r="B77" s="120" t="s">
        <v>169</v>
      </c>
      <c r="C77" s="55" t="s">
        <v>237</v>
      </c>
      <c r="D77" s="51"/>
    </row>
    <row r="78" spans="1:4" s="48" customFormat="1" ht="12" customHeight="1" x14ac:dyDescent="0.3">
      <c r="A78" s="124"/>
      <c r="B78" s="121"/>
      <c r="C78" s="51" t="s">
        <v>238</v>
      </c>
      <c r="D78" s="51"/>
    </row>
    <row r="79" spans="1:4" s="48" customFormat="1" ht="12" customHeight="1" x14ac:dyDescent="0.3">
      <c r="A79" s="124"/>
      <c r="B79" s="121"/>
      <c r="C79" s="49" t="s">
        <v>13</v>
      </c>
      <c r="D79" s="51"/>
    </row>
    <row r="80" spans="1:4" s="48" customFormat="1" ht="12" customHeight="1" x14ac:dyDescent="0.3">
      <c r="A80" s="124"/>
      <c r="B80" s="121"/>
      <c r="C80" s="51" t="s">
        <v>223</v>
      </c>
      <c r="D80" s="51"/>
    </row>
    <row r="81" spans="1:4" s="48" customFormat="1" ht="12" customHeight="1" thickBot="1" x14ac:dyDescent="0.35">
      <c r="A81" s="125"/>
      <c r="B81" s="122"/>
      <c r="C81" s="49" t="s">
        <v>224</v>
      </c>
      <c r="D81" s="51"/>
    </row>
    <row r="82" spans="1:4" s="48" customFormat="1" ht="12" customHeight="1" x14ac:dyDescent="0.3">
      <c r="A82" s="123" t="s">
        <v>70</v>
      </c>
      <c r="B82" s="120" t="s">
        <v>165</v>
      </c>
      <c r="C82" s="55" t="s">
        <v>237</v>
      </c>
      <c r="D82" s="51"/>
    </row>
    <row r="83" spans="1:4" s="48" customFormat="1" ht="12" customHeight="1" x14ac:dyDescent="0.3">
      <c r="A83" s="124"/>
      <c r="B83" s="121"/>
      <c r="C83" s="51" t="s">
        <v>238</v>
      </c>
      <c r="D83" s="51"/>
    </row>
    <row r="84" spans="1:4" s="48" customFormat="1" ht="12" customHeight="1" x14ac:dyDescent="0.3">
      <c r="A84" s="124"/>
      <c r="B84" s="121"/>
      <c r="C84" s="49" t="s">
        <v>13</v>
      </c>
      <c r="D84" s="51"/>
    </row>
    <row r="85" spans="1:4" s="48" customFormat="1" ht="12" customHeight="1" x14ac:dyDescent="0.3">
      <c r="A85" s="124"/>
      <c r="B85" s="121"/>
      <c r="C85" s="51" t="s">
        <v>223</v>
      </c>
      <c r="D85" s="51"/>
    </row>
    <row r="86" spans="1:4" s="48" customFormat="1" ht="12" customHeight="1" thickBot="1" x14ac:dyDescent="0.35">
      <c r="A86" s="125"/>
      <c r="B86" s="122"/>
      <c r="C86" s="57" t="s">
        <v>224</v>
      </c>
      <c r="D86" s="51"/>
    </row>
    <row r="87" spans="1:4" s="51" customFormat="1" ht="12" customHeight="1" x14ac:dyDescent="0.3">
      <c r="A87" s="54"/>
      <c r="B87" s="63"/>
    </row>
    <row r="88" spans="1:4" s="51" customFormat="1" ht="12" customHeight="1" x14ac:dyDescent="0.3">
      <c r="A88" s="54"/>
      <c r="B88" s="63"/>
    </row>
    <row r="89" spans="1:4" s="51" customFormat="1" ht="12" customHeight="1" thickBot="1" x14ac:dyDescent="0.35">
      <c r="A89" s="54"/>
      <c r="B89" s="63"/>
    </row>
    <row r="90" spans="1:4" s="48" customFormat="1" ht="17.25" customHeight="1" thickBot="1" x14ac:dyDescent="0.35">
      <c r="A90" s="126" t="s">
        <v>281</v>
      </c>
      <c r="B90" s="126"/>
      <c r="C90" s="126"/>
      <c r="D90" s="51"/>
    </row>
    <row r="91" spans="1:4" s="48" customFormat="1" ht="16.5" customHeight="1" thickBot="1" x14ac:dyDescent="0.35">
      <c r="A91" s="21" t="s">
        <v>131</v>
      </c>
      <c r="B91" s="21" t="s">
        <v>278</v>
      </c>
      <c r="C91" s="21" t="s">
        <v>279</v>
      </c>
      <c r="D91" s="51"/>
    </row>
    <row r="92" spans="1:4" s="48" customFormat="1" ht="12" customHeight="1" x14ac:dyDescent="0.3">
      <c r="A92" s="123" t="s">
        <v>98</v>
      </c>
      <c r="B92" s="120" t="s">
        <v>181</v>
      </c>
      <c r="C92" s="50" t="s">
        <v>248</v>
      </c>
      <c r="D92" s="51"/>
    </row>
    <row r="93" spans="1:4" s="48" customFormat="1" ht="12" customHeight="1" x14ac:dyDescent="0.3">
      <c r="A93" s="124"/>
      <c r="B93" s="121"/>
      <c r="C93" s="49" t="s">
        <v>282</v>
      </c>
      <c r="D93" s="51"/>
    </row>
    <row r="94" spans="1:4" s="48" customFormat="1" ht="12" customHeight="1" x14ac:dyDescent="0.3">
      <c r="A94" s="124"/>
      <c r="B94" s="121"/>
      <c r="C94" s="51" t="s">
        <v>249</v>
      </c>
      <c r="D94" s="51"/>
    </row>
    <row r="95" spans="1:4" s="48" customFormat="1" ht="12" customHeight="1" x14ac:dyDescent="0.3">
      <c r="A95" s="124"/>
      <c r="B95" s="121"/>
      <c r="C95" s="49" t="s">
        <v>250</v>
      </c>
      <c r="D95" s="51"/>
    </row>
    <row r="96" spans="1:4" s="48" customFormat="1" ht="12" customHeight="1" x14ac:dyDescent="0.3">
      <c r="A96" s="124"/>
      <c r="B96" s="121"/>
      <c r="C96" s="51" t="s">
        <v>251</v>
      </c>
      <c r="D96" s="51"/>
    </row>
    <row r="97" spans="1:4" s="48" customFormat="1" ht="12" customHeight="1" x14ac:dyDescent="0.3">
      <c r="A97" s="124"/>
      <c r="B97" s="121"/>
      <c r="C97" s="49" t="s">
        <v>252</v>
      </c>
      <c r="D97" s="51"/>
    </row>
    <row r="98" spans="1:4" s="48" customFormat="1" ht="12" customHeight="1" x14ac:dyDescent="0.3">
      <c r="A98" s="124"/>
      <c r="B98" s="121"/>
      <c r="C98" s="51" t="s">
        <v>253</v>
      </c>
      <c r="D98" s="51"/>
    </row>
    <row r="99" spans="1:4" s="48" customFormat="1" ht="12" customHeight="1" x14ac:dyDescent="0.3">
      <c r="A99" s="124"/>
      <c r="B99" s="121"/>
      <c r="C99" s="49" t="s">
        <v>254</v>
      </c>
      <c r="D99" s="51"/>
    </row>
    <row r="100" spans="1:4" s="48" customFormat="1" ht="12" customHeight="1" x14ac:dyDescent="0.3">
      <c r="A100" s="124"/>
      <c r="B100" s="121"/>
      <c r="C100" s="51" t="s">
        <v>255</v>
      </c>
      <c r="D100" s="51"/>
    </row>
    <row r="101" spans="1:4" s="48" customFormat="1" ht="12" customHeight="1" x14ac:dyDescent="0.3">
      <c r="A101" s="124"/>
      <c r="B101" s="121"/>
      <c r="C101" s="49" t="s">
        <v>256</v>
      </c>
      <c r="D101" s="51"/>
    </row>
    <row r="102" spans="1:4" s="48" customFormat="1" ht="12" customHeight="1" x14ac:dyDescent="0.3">
      <c r="A102" s="124"/>
      <c r="B102" s="121"/>
      <c r="C102" s="51" t="s">
        <v>257</v>
      </c>
      <c r="D102" s="51"/>
    </row>
    <row r="103" spans="1:4" s="48" customFormat="1" ht="12" customHeight="1" x14ac:dyDescent="0.3">
      <c r="A103" s="124"/>
      <c r="B103" s="121"/>
      <c r="C103" s="49" t="s">
        <v>258</v>
      </c>
      <c r="D103" s="51"/>
    </row>
    <row r="104" spans="1:4" s="48" customFormat="1" ht="12" customHeight="1" x14ac:dyDescent="0.3">
      <c r="A104" s="124"/>
      <c r="B104" s="121"/>
      <c r="C104" s="51" t="s">
        <v>259</v>
      </c>
      <c r="D104" s="51"/>
    </row>
    <row r="105" spans="1:4" s="48" customFormat="1" ht="12" customHeight="1" x14ac:dyDescent="0.3">
      <c r="A105" s="124"/>
      <c r="B105" s="121"/>
      <c r="C105" s="49" t="s">
        <v>260</v>
      </c>
      <c r="D105" s="51"/>
    </row>
    <row r="106" spans="1:4" s="48" customFormat="1" ht="12" customHeight="1" x14ac:dyDescent="0.3">
      <c r="A106" s="124"/>
      <c r="B106" s="121"/>
      <c r="C106" s="51" t="s">
        <v>261</v>
      </c>
      <c r="D106" s="51"/>
    </row>
    <row r="107" spans="1:4" s="48" customFormat="1" ht="12" customHeight="1" x14ac:dyDescent="0.3">
      <c r="A107" s="124"/>
      <c r="B107" s="121"/>
      <c r="C107" s="49" t="s">
        <v>262</v>
      </c>
      <c r="D107" s="51"/>
    </row>
    <row r="108" spans="1:4" s="48" customFormat="1" ht="12" customHeight="1" x14ac:dyDescent="0.3">
      <c r="A108" s="124"/>
      <c r="B108" s="121"/>
      <c r="C108" s="51" t="s">
        <v>263</v>
      </c>
      <c r="D108" s="51"/>
    </row>
    <row r="109" spans="1:4" s="48" customFormat="1" ht="12" customHeight="1" x14ac:dyDescent="0.3">
      <c r="A109" s="124"/>
      <c r="B109" s="121"/>
      <c r="C109" s="49" t="s">
        <v>264</v>
      </c>
      <c r="D109" s="51"/>
    </row>
    <row r="110" spans="1:4" s="48" customFormat="1" ht="12" customHeight="1" x14ac:dyDescent="0.3">
      <c r="A110" s="124"/>
      <c r="B110" s="121"/>
      <c r="C110" s="51" t="s">
        <v>265</v>
      </c>
      <c r="D110" s="51"/>
    </row>
    <row r="111" spans="1:4" s="48" customFormat="1" ht="12" customHeight="1" x14ac:dyDescent="0.3">
      <c r="A111" s="124"/>
      <c r="B111" s="121"/>
      <c r="C111" s="49" t="s">
        <v>266</v>
      </c>
      <c r="D111" s="51"/>
    </row>
    <row r="112" spans="1:4" s="48" customFormat="1" ht="12" customHeight="1" x14ac:dyDescent="0.3">
      <c r="A112" s="124"/>
      <c r="B112" s="121"/>
      <c r="C112" s="51" t="s">
        <v>267</v>
      </c>
      <c r="D112" s="51"/>
    </row>
    <row r="113" spans="1:4" s="48" customFormat="1" ht="12" customHeight="1" x14ac:dyDescent="0.3">
      <c r="A113" s="124"/>
      <c r="B113" s="121"/>
      <c r="C113" s="49" t="s">
        <v>268</v>
      </c>
      <c r="D113" s="51"/>
    </row>
    <row r="114" spans="1:4" s="48" customFormat="1" ht="12" customHeight="1" x14ac:dyDescent="0.3">
      <c r="A114" s="124"/>
      <c r="B114" s="121"/>
      <c r="C114" s="51" t="s">
        <v>269</v>
      </c>
      <c r="D114" s="51"/>
    </row>
    <row r="115" spans="1:4" s="48" customFormat="1" ht="12" customHeight="1" thickBot="1" x14ac:dyDescent="0.35">
      <c r="A115" s="125"/>
      <c r="B115" s="122"/>
      <c r="C115" s="57" t="s">
        <v>270</v>
      </c>
      <c r="D115" s="51"/>
    </row>
    <row r="116" spans="1:4" s="48" customFormat="1" ht="12" customHeight="1" x14ac:dyDescent="0.3">
      <c r="A116" s="54"/>
      <c r="B116" s="52"/>
      <c r="C116" s="51"/>
      <c r="D116" s="51"/>
    </row>
    <row r="117" spans="1:4" s="48" customFormat="1" ht="12" customHeight="1" x14ac:dyDescent="0.3">
      <c r="A117" s="54"/>
      <c r="B117" s="52"/>
      <c r="C117" s="51"/>
      <c r="D117" s="51"/>
    </row>
    <row r="118" spans="1:4" s="48" customFormat="1" ht="12" customHeight="1" thickBot="1" x14ac:dyDescent="0.35">
      <c r="A118" s="54"/>
      <c r="B118" s="52"/>
      <c r="C118" s="51"/>
      <c r="D118" s="51"/>
    </row>
    <row r="119" spans="1:4" s="48" customFormat="1" ht="17.25" customHeight="1" thickBot="1" x14ac:dyDescent="0.35">
      <c r="A119" s="126" t="s">
        <v>97</v>
      </c>
      <c r="B119" s="126"/>
      <c r="C119" s="126"/>
      <c r="D119" s="51"/>
    </row>
    <row r="120" spans="1:4" s="48" customFormat="1" ht="16.5" customHeight="1" thickBot="1" x14ac:dyDescent="0.35">
      <c r="A120" s="64" t="s">
        <v>131</v>
      </c>
      <c r="B120" s="64" t="s">
        <v>278</v>
      </c>
      <c r="C120" s="64" t="s">
        <v>279</v>
      </c>
      <c r="D120" s="51"/>
    </row>
    <row r="121" spans="1:4" s="48" customFormat="1" ht="12" customHeight="1" x14ac:dyDescent="0.3">
      <c r="A121" s="123" t="s">
        <v>91</v>
      </c>
      <c r="B121" s="120" t="s">
        <v>159</v>
      </c>
      <c r="C121" s="50" t="s">
        <v>273</v>
      </c>
      <c r="D121" s="51"/>
    </row>
    <row r="122" spans="1:4" s="48" customFormat="1" ht="12" customHeight="1" thickBot="1" x14ac:dyDescent="0.35">
      <c r="A122" s="125"/>
      <c r="B122" s="122"/>
      <c r="C122" s="57" t="s">
        <v>274</v>
      </c>
      <c r="D122" s="51"/>
    </row>
    <row r="123" spans="1:4" s="48" customFormat="1" ht="12" customHeight="1" x14ac:dyDescent="0.3">
      <c r="A123" s="123" t="s">
        <v>92</v>
      </c>
      <c r="B123" s="120" t="s">
        <v>156</v>
      </c>
      <c r="C123" s="50" t="s">
        <v>271</v>
      </c>
      <c r="D123" s="51"/>
    </row>
    <row r="124" spans="1:4" s="48" customFormat="1" ht="12" customHeight="1" thickBot="1" x14ac:dyDescent="0.35">
      <c r="A124" s="125"/>
      <c r="B124" s="122"/>
      <c r="C124" s="57" t="s">
        <v>272</v>
      </c>
      <c r="D124" s="51"/>
    </row>
    <row r="125" spans="1:4" s="48" customFormat="1" ht="12" customHeight="1" x14ac:dyDescent="0.3">
      <c r="A125" s="123" t="s">
        <v>93</v>
      </c>
      <c r="B125" s="120" t="s">
        <v>161</v>
      </c>
      <c r="C125" s="50" t="s">
        <v>275</v>
      </c>
      <c r="D125" s="51"/>
    </row>
    <row r="126" spans="1:4" s="48" customFormat="1" ht="12" customHeight="1" x14ac:dyDescent="0.3">
      <c r="A126" s="124"/>
      <c r="B126" s="121"/>
      <c r="C126" s="49" t="s">
        <v>276</v>
      </c>
      <c r="D126" s="51"/>
    </row>
    <row r="127" spans="1:4" s="48" customFormat="1" ht="12" customHeight="1" x14ac:dyDescent="0.3">
      <c r="A127" s="124"/>
      <c r="B127" s="121"/>
      <c r="C127" s="51" t="s">
        <v>277</v>
      </c>
      <c r="D127" s="51"/>
    </row>
    <row r="128" spans="1:4" s="48" customFormat="1" ht="12" customHeight="1" thickBot="1" x14ac:dyDescent="0.35">
      <c r="A128" s="125"/>
      <c r="B128" s="122"/>
      <c r="C128" s="62" t="s">
        <v>13</v>
      </c>
      <c r="D128" s="51"/>
    </row>
    <row r="129" spans="1:4" s="48" customFormat="1" ht="12" customHeight="1" x14ac:dyDescent="0.3">
      <c r="A129" s="123" t="s">
        <v>95</v>
      </c>
      <c r="B129" s="120" t="s">
        <v>162</v>
      </c>
      <c r="C129" s="50" t="s">
        <v>275</v>
      </c>
      <c r="D129" s="51"/>
    </row>
    <row r="130" spans="1:4" s="48" customFormat="1" ht="12" customHeight="1" x14ac:dyDescent="0.3">
      <c r="A130" s="124"/>
      <c r="B130" s="121"/>
      <c r="C130" s="49" t="s">
        <v>276</v>
      </c>
      <c r="D130" s="51"/>
    </row>
    <row r="131" spans="1:4" s="48" customFormat="1" ht="12" customHeight="1" x14ac:dyDescent="0.3">
      <c r="A131" s="124"/>
      <c r="B131" s="121"/>
      <c r="C131" s="51" t="s">
        <v>277</v>
      </c>
      <c r="D131" s="51"/>
    </row>
    <row r="132" spans="1:4" s="48" customFormat="1" ht="12" customHeight="1" thickBot="1" x14ac:dyDescent="0.35">
      <c r="A132" s="125"/>
      <c r="B132" s="122"/>
      <c r="C132" s="62" t="s">
        <v>13</v>
      </c>
      <c r="D132" s="51"/>
    </row>
    <row r="133" spans="1:4" s="48" customFormat="1" ht="12" customHeight="1" x14ac:dyDescent="0.3">
      <c r="A133" s="123" t="s">
        <v>94</v>
      </c>
      <c r="B133" s="120" t="s">
        <v>163</v>
      </c>
      <c r="C133" s="50" t="s">
        <v>275</v>
      </c>
      <c r="D133" s="51"/>
    </row>
    <row r="134" spans="1:4" s="48" customFormat="1" ht="12" customHeight="1" x14ac:dyDescent="0.3">
      <c r="A134" s="124"/>
      <c r="B134" s="121"/>
      <c r="C134" s="49" t="s">
        <v>276</v>
      </c>
      <c r="D134" s="51"/>
    </row>
    <row r="135" spans="1:4" s="48" customFormat="1" ht="12" customHeight="1" x14ac:dyDescent="0.3">
      <c r="A135" s="124"/>
      <c r="B135" s="121"/>
      <c r="C135" s="51" t="s">
        <v>277</v>
      </c>
      <c r="D135" s="51"/>
    </row>
    <row r="136" spans="1:4" s="48" customFormat="1" ht="12" customHeight="1" thickBot="1" x14ac:dyDescent="0.35">
      <c r="A136" s="125"/>
      <c r="B136" s="122"/>
      <c r="C136" s="62" t="s">
        <v>13</v>
      </c>
      <c r="D136" s="51"/>
    </row>
    <row r="137" spans="1:4" s="48" customFormat="1" ht="12" customHeight="1" x14ac:dyDescent="0.3">
      <c r="A137" s="123" t="s">
        <v>96</v>
      </c>
      <c r="B137" s="120" t="s">
        <v>160</v>
      </c>
      <c r="C137" s="50" t="s">
        <v>275</v>
      </c>
      <c r="D137" s="51"/>
    </row>
    <row r="138" spans="1:4" s="48" customFormat="1" ht="12" customHeight="1" x14ac:dyDescent="0.3">
      <c r="A138" s="124"/>
      <c r="B138" s="121"/>
      <c r="C138" s="49" t="s">
        <v>276</v>
      </c>
      <c r="D138" s="51"/>
    </row>
    <row r="139" spans="1:4" s="48" customFormat="1" ht="12" customHeight="1" thickBot="1" x14ac:dyDescent="0.35">
      <c r="A139" s="125"/>
      <c r="B139" s="122"/>
      <c r="C139" s="56" t="s">
        <v>277</v>
      </c>
      <c r="D139" s="51"/>
    </row>
    <row r="140" spans="1:4" s="48" customFormat="1" ht="12" customHeight="1" x14ac:dyDescent="0.3">
      <c r="A140" s="54"/>
      <c r="B140" s="52"/>
      <c r="C140" s="51"/>
      <c r="D140" s="51"/>
    </row>
    <row r="141" spans="1:4" s="48" customFormat="1" ht="12" customHeight="1" x14ac:dyDescent="0.3">
      <c r="A141" s="54"/>
      <c r="B141" s="52"/>
      <c r="C141" s="51"/>
      <c r="D141" s="51"/>
    </row>
    <row r="142" spans="1:4" s="48" customFormat="1" ht="12" customHeight="1" thickBot="1" x14ac:dyDescent="0.35">
      <c r="A142" s="54"/>
      <c r="B142" s="52"/>
      <c r="C142" s="51"/>
      <c r="D142" s="51"/>
    </row>
    <row r="143" spans="1:4" s="48" customFormat="1" ht="17.25" customHeight="1" thickBot="1" x14ac:dyDescent="0.35">
      <c r="A143" s="126" t="s">
        <v>283</v>
      </c>
      <c r="B143" s="126"/>
      <c r="C143" s="126"/>
      <c r="D143" s="51"/>
    </row>
    <row r="144" spans="1:4" s="48" customFormat="1" ht="16.5" customHeight="1" thickBot="1" x14ac:dyDescent="0.35">
      <c r="A144" s="64" t="s">
        <v>131</v>
      </c>
      <c r="B144" s="64" t="s">
        <v>278</v>
      </c>
      <c r="C144" s="64" t="s">
        <v>279</v>
      </c>
      <c r="D144" s="51"/>
    </row>
    <row r="145" spans="1:4" s="48" customFormat="1" ht="12" customHeight="1" x14ac:dyDescent="0.3">
      <c r="A145" s="123" t="s">
        <v>100</v>
      </c>
      <c r="B145" s="120" t="s">
        <v>185</v>
      </c>
      <c r="C145" s="50" t="s">
        <v>228</v>
      </c>
      <c r="D145" s="51"/>
    </row>
    <row r="146" spans="1:4" s="48" customFormat="1" ht="12" customHeight="1" x14ac:dyDescent="0.3">
      <c r="A146" s="124"/>
      <c r="B146" s="121"/>
      <c r="C146" s="49" t="s">
        <v>229</v>
      </c>
      <c r="D146" s="51"/>
    </row>
    <row r="147" spans="1:4" s="48" customFormat="1" ht="12" customHeight="1" x14ac:dyDescent="0.3">
      <c r="A147" s="124"/>
      <c r="B147" s="121"/>
      <c r="C147" s="51" t="s">
        <v>230</v>
      </c>
      <c r="D147" s="51"/>
    </row>
    <row r="148" spans="1:4" s="48" customFormat="1" ht="12" customHeight="1" x14ac:dyDescent="0.3">
      <c r="A148" s="124"/>
      <c r="B148" s="121"/>
      <c r="C148" s="49" t="s">
        <v>231</v>
      </c>
      <c r="D148" s="51"/>
    </row>
    <row r="149" spans="1:4" s="48" customFormat="1" ht="12" customHeight="1" x14ac:dyDescent="0.3">
      <c r="A149" s="124"/>
      <c r="B149" s="121"/>
      <c r="C149" s="51" t="s">
        <v>232</v>
      </c>
      <c r="D149" s="51"/>
    </row>
    <row r="150" spans="1:4" s="48" customFormat="1" ht="12" customHeight="1" x14ac:dyDescent="0.3">
      <c r="A150" s="124"/>
      <c r="B150" s="121"/>
      <c r="C150" s="49" t="s">
        <v>233</v>
      </c>
      <c r="D150" s="51"/>
    </row>
    <row r="151" spans="1:4" s="48" customFormat="1" ht="12" customHeight="1" x14ac:dyDescent="0.3">
      <c r="A151" s="124"/>
      <c r="B151" s="121"/>
      <c r="C151" s="51" t="s">
        <v>234</v>
      </c>
      <c r="D151" s="51"/>
    </row>
    <row r="152" spans="1:4" s="48" customFormat="1" ht="12" customHeight="1" x14ac:dyDescent="0.3">
      <c r="A152" s="124"/>
      <c r="B152" s="121"/>
      <c r="C152" s="49" t="s">
        <v>235</v>
      </c>
      <c r="D152" s="51"/>
    </row>
    <row r="153" spans="1:4" s="48" customFormat="1" ht="12" customHeight="1" x14ac:dyDescent="0.3">
      <c r="A153" s="124"/>
      <c r="B153" s="121"/>
      <c r="C153" s="51" t="s">
        <v>236</v>
      </c>
      <c r="D153" s="51"/>
    </row>
    <row r="154" spans="1:4" s="48" customFormat="1" ht="12" customHeight="1" x14ac:dyDescent="0.3">
      <c r="A154" s="124"/>
      <c r="B154" s="121"/>
      <c r="C154" s="49" t="s">
        <v>13</v>
      </c>
      <c r="D154" s="51"/>
    </row>
    <row r="155" spans="1:4" s="48" customFormat="1" ht="12" customHeight="1" x14ac:dyDescent="0.3">
      <c r="A155" s="124"/>
      <c r="B155" s="121"/>
      <c r="C155" s="51" t="s">
        <v>223</v>
      </c>
      <c r="D155" s="51"/>
    </row>
    <row r="156" spans="1:4" s="48" customFormat="1" ht="12" customHeight="1" thickBot="1" x14ac:dyDescent="0.35">
      <c r="A156" s="125"/>
      <c r="B156" s="122"/>
      <c r="C156" s="57" t="s">
        <v>224</v>
      </c>
      <c r="D156" s="51"/>
    </row>
    <row r="157" spans="1:4" s="48" customFormat="1" ht="12" customHeight="1" x14ac:dyDescent="0.3">
      <c r="A157" s="54"/>
      <c r="B157" s="52"/>
      <c r="C157" s="51"/>
      <c r="D157" s="51"/>
    </row>
    <row r="158" spans="1:4" s="48" customFormat="1" ht="12" customHeight="1" x14ac:dyDescent="0.3">
      <c r="A158" s="46"/>
      <c r="B158" s="47"/>
      <c r="D158" s="51"/>
    </row>
    <row r="159" spans="1:4" s="48" customFormat="1" ht="12" customHeight="1" x14ac:dyDescent="0.3">
      <c r="A159" s="46"/>
      <c r="B159" s="47"/>
    </row>
    <row r="160" spans="1:4" s="48" customFormat="1" ht="12" customHeight="1" x14ac:dyDescent="0.3">
      <c r="A160" s="46"/>
      <c r="B160" s="47"/>
    </row>
    <row r="161" spans="1:2" s="48" customFormat="1" ht="12" customHeight="1" x14ac:dyDescent="0.3">
      <c r="A161" s="46"/>
      <c r="B161" s="47"/>
    </row>
  </sheetData>
  <mergeCells count="45">
    <mergeCell ref="A1:C1"/>
    <mergeCell ref="A90:C90"/>
    <mergeCell ref="A54:A64"/>
    <mergeCell ref="A129:A132"/>
    <mergeCell ref="B129:B132"/>
    <mergeCell ref="B125:B128"/>
    <mergeCell ref="A121:A122"/>
    <mergeCell ref="B121:B122"/>
    <mergeCell ref="A123:A124"/>
    <mergeCell ref="B123:B124"/>
    <mergeCell ref="A3:A7"/>
    <mergeCell ref="B3:B7"/>
    <mergeCell ref="A16:A20"/>
    <mergeCell ref="A8:A15"/>
    <mergeCell ref="B8:B15"/>
    <mergeCell ref="A69:A72"/>
    <mergeCell ref="A145:A156"/>
    <mergeCell ref="B145:B156"/>
    <mergeCell ref="A41:C41"/>
    <mergeCell ref="A77:A81"/>
    <mergeCell ref="B77:B81"/>
    <mergeCell ref="A43:A53"/>
    <mergeCell ref="B43:B53"/>
    <mergeCell ref="B54:B64"/>
    <mergeCell ref="A119:C119"/>
    <mergeCell ref="A143:C143"/>
    <mergeCell ref="A137:A139"/>
    <mergeCell ref="B137:B139"/>
    <mergeCell ref="A125:A128"/>
    <mergeCell ref="A133:A136"/>
    <mergeCell ref="B133:B136"/>
    <mergeCell ref="A73:A76"/>
    <mergeCell ref="B69:B72"/>
    <mergeCell ref="A92:A115"/>
    <mergeCell ref="B92:B115"/>
    <mergeCell ref="A82:A86"/>
    <mergeCell ref="B82:B86"/>
    <mergeCell ref="B73:B76"/>
    <mergeCell ref="B16:B20"/>
    <mergeCell ref="A27:A31"/>
    <mergeCell ref="B27:B31"/>
    <mergeCell ref="A65:A68"/>
    <mergeCell ref="B65:B68"/>
    <mergeCell ref="A21:A26"/>
    <mergeCell ref="B21:B26"/>
  </mergeCells>
  <phoneticPr fontId="13" type="noConversion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D64C-F426-40E8-AF3A-6952B5CF425F}">
  <sheetPr>
    <tabColor rgb="FF00B0F0"/>
  </sheetPr>
  <dimension ref="A1:D52"/>
  <sheetViews>
    <sheetView zoomScale="110" zoomScaleNormal="110" workbookViewId="0">
      <selection activeCell="A14" sqref="A14:XFD14"/>
    </sheetView>
  </sheetViews>
  <sheetFormatPr baseColWidth="10" defaultColWidth="11.44140625" defaultRowHeight="12" x14ac:dyDescent="0.25"/>
  <cols>
    <col min="1" max="1" width="12" style="16" bestFit="1" customWidth="1"/>
    <col min="2" max="2" width="18.44140625" style="16" customWidth="1"/>
    <col min="3" max="3" width="13.109375" style="16" bestFit="1" customWidth="1"/>
    <col min="4" max="16384" width="11.44140625" style="16"/>
  </cols>
  <sheetData>
    <row r="1" spans="1:4" ht="17.25" customHeight="1" thickBot="1" x14ac:dyDescent="0.3">
      <c r="A1" s="126" t="s">
        <v>74</v>
      </c>
      <c r="B1" s="126"/>
      <c r="C1" s="126"/>
      <c r="D1" s="19"/>
    </row>
    <row r="2" spans="1:4" ht="16.5" customHeight="1" thickBot="1" x14ac:dyDescent="0.3">
      <c r="A2" s="21" t="s">
        <v>71</v>
      </c>
      <c r="B2" s="21" t="s">
        <v>72</v>
      </c>
      <c r="C2" s="21" t="s">
        <v>73</v>
      </c>
      <c r="D2" s="19"/>
    </row>
    <row r="3" spans="1:4" x14ac:dyDescent="0.25">
      <c r="A3" s="17" t="s">
        <v>60</v>
      </c>
      <c r="B3" s="17" t="s">
        <v>61</v>
      </c>
      <c r="C3" s="17" t="s">
        <v>62</v>
      </c>
      <c r="D3" s="19"/>
    </row>
    <row r="4" spans="1:4" x14ac:dyDescent="0.25">
      <c r="A4" s="18" t="s">
        <v>63</v>
      </c>
      <c r="B4" s="18" t="s">
        <v>14</v>
      </c>
      <c r="C4" s="18" t="s">
        <v>64</v>
      </c>
      <c r="D4" s="19"/>
    </row>
    <row r="5" spans="1:4" x14ac:dyDescent="0.25">
      <c r="A5" s="17" t="s">
        <v>63</v>
      </c>
      <c r="B5" s="17" t="s">
        <v>65</v>
      </c>
      <c r="C5" s="17" t="s">
        <v>64</v>
      </c>
      <c r="D5" s="19"/>
    </row>
    <row r="6" spans="1:4" x14ac:dyDescent="0.25">
      <c r="A6" s="18" t="s">
        <v>63</v>
      </c>
      <c r="B6" s="18" t="s">
        <v>66</v>
      </c>
      <c r="C6" s="18" t="s">
        <v>64</v>
      </c>
      <c r="D6" s="19"/>
    </row>
    <row r="7" spans="1:4" x14ac:dyDescent="0.25">
      <c r="A7" s="17" t="s">
        <v>63</v>
      </c>
      <c r="B7" s="17" t="s">
        <v>67</v>
      </c>
      <c r="C7" s="17" t="s">
        <v>64</v>
      </c>
      <c r="D7" s="19"/>
    </row>
    <row r="8" spans="1:4" x14ac:dyDescent="0.25">
      <c r="A8" s="18" t="s">
        <v>63</v>
      </c>
      <c r="B8" s="18" t="s">
        <v>68</v>
      </c>
      <c r="C8" s="18" t="s">
        <v>64</v>
      </c>
      <c r="D8" s="19"/>
    </row>
    <row r="9" spans="1:4" x14ac:dyDescent="0.25">
      <c r="A9" s="17" t="s">
        <v>63</v>
      </c>
      <c r="B9" s="17" t="s">
        <v>69</v>
      </c>
      <c r="C9" s="17" t="s">
        <v>64</v>
      </c>
      <c r="D9" s="19"/>
    </row>
    <row r="10" spans="1:4" ht="12.6" thickBot="1" x14ac:dyDescent="0.3">
      <c r="A10" s="20" t="s">
        <v>63</v>
      </c>
      <c r="B10" s="20" t="s">
        <v>70</v>
      </c>
      <c r="C10" s="20" t="s">
        <v>64</v>
      </c>
      <c r="D10" s="19"/>
    </row>
    <row r="11" spans="1:4" x14ac:dyDescent="0.25">
      <c r="A11" s="19"/>
      <c r="B11" s="19"/>
      <c r="C11" s="19"/>
      <c r="D11" s="19"/>
    </row>
    <row r="12" spans="1:4" ht="12.6" thickBot="1" x14ac:dyDescent="0.3">
      <c r="A12" s="19"/>
      <c r="B12" s="19"/>
      <c r="C12" s="19"/>
      <c r="D12" s="19"/>
    </row>
    <row r="13" spans="1:4" ht="17.25" customHeight="1" thickBot="1" x14ac:dyDescent="0.3">
      <c r="A13" s="126" t="s">
        <v>88</v>
      </c>
      <c r="B13" s="126"/>
      <c r="C13" s="126"/>
      <c r="D13" s="19"/>
    </row>
    <row r="14" spans="1:4" ht="16.5" customHeight="1" thickBot="1" x14ac:dyDescent="0.3">
      <c r="A14" s="21" t="s">
        <v>71</v>
      </c>
      <c r="B14" s="21" t="s">
        <v>72</v>
      </c>
      <c r="C14" s="21" t="s">
        <v>73</v>
      </c>
      <c r="D14" s="19"/>
    </row>
    <row r="15" spans="1:4" x14ac:dyDescent="0.25">
      <c r="A15" s="17" t="s">
        <v>60</v>
      </c>
      <c r="B15" s="17" t="s">
        <v>75</v>
      </c>
      <c r="C15" s="17" t="s">
        <v>76</v>
      </c>
      <c r="D15" s="19"/>
    </row>
    <row r="16" spans="1:4" x14ac:dyDescent="0.25">
      <c r="A16" s="18" t="s">
        <v>77</v>
      </c>
      <c r="B16" s="18" t="s">
        <v>78</v>
      </c>
      <c r="C16" s="18" t="s">
        <v>62</v>
      </c>
      <c r="D16" s="19"/>
    </row>
    <row r="17" spans="1:4" x14ac:dyDescent="0.25">
      <c r="A17" s="17" t="s">
        <v>77</v>
      </c>
      <c r="B17" s="17" t="s">
        <v>79</v>
      </c>
      <c r="C17" s="17" t="s">
        <v>80</v>
      </c>
      <c r="D17" s="19"/>
    </row>
    <row r="18" spans="1:4" x14ac:dyDescent="0.25">
      <c r="A18" s="18" t="s">
        <v>77</v>
      </c>
      <c r="B18" s="18" t="s">
        <v>9</v>
      </c>
      <c r="C18" s="18" t="s">
        <v>76</v>
      </c>
      <c r="D18" s="19"/>
    </row>
    <row r="19" spans="1:4" x14ac:dyDescent="0.25">
      <c r="A19" s="17" t="s">
        <v>63</v>
      </c>
      <c r="B19" s="17" t="s">
        <v>81</v>
      </c>
      <c r="C19" s="17" t="s">
        <v>64</v>
      </c>
      <c r="D19" s="19"/>
    </row>
    <row r="20" spans="1:4" x14ac:dyDescent="0.25">
      <c r="A20" s="18" t="s">
        <v>63</v>
      </c>
      <c r="B20" s="18" t="s">
        <v>82</v>
      </c>
      <c r="C20" s="18" t="s">
        <v>64</v>
      </c>
      <c r="D20" s="19"/>
    </row>
    <row r="21" spans="1:4" x14ac:dyDescent="0.25">
      <c r="A21" s="17" t="s">
        <v>63</v>
      </c>
      <c r="B21" s="17" t="s">
        <v>83</v>
      </c>
      <c r="C21" s="17" t="s">
        <v>64</v>
      </c>
      <c r="D21" s="19"/>
    </row>
    <row r="22" spans="1:4" x14ac:dyDescent="0.25">
      <c r="A22" s="18" t="s">
        <v>63</v>
      </c>
      <c r="B22" s="18" t="s">
        <v>84</v>
      </c>
      <c r="C22" s="18" t="s">
        <v>64</v>
      </c>
      <c r="D22" s="19"/>
    </row>
    <row r="23" spans="1:4" x14ac:dyDescent="0.25">
      <c r="A23" s="17" t="s">
        <v>63</v>
      </c>
      <c r="B23" s="17" t="s">
        <v>85</v>
      </c>
      <c r="C23" s="17" t="s">
        <v>64</v>
      </c>
      <c r="D23" s="19"/>
    </row>
    <row r="24" spans="1:4" x14ac:dyDescent="0.25">
      <c r="A24" s="18" t="s">
        <v>63</v>
      </c>
      <c r="B24" s="18" t="s">
        <v>11</v>
      </c>
      <c r="C24" s="18" t="s">
        <v>76</v>
      </c>
      <c r="D24" s="19"/>
    </row>
    <row r="25" spans="1:4" x14ac:dyDescent="0.25">
      <c r="A25" s="17" t="s">
        <v>63</v>
      </c>
      <c r="B25" s="17" t="s">
        <v>86</v>
      </c>
      <c r="C25" s="17" t="s">
        <v>76</v>
      </c>
      <c r="D25" s="19"/>
    </row>
    <row r="26" spans="1:4" x14ac:dyDescent="0.25">
      <c r="A26" s="18" t="s">
        <v>63</v>
      </c>
      <c r="B26" s="18" t="s">
        <v>87</v>
      </c>
      <c r="C26" s="18" t="s">
        <v>76</v>
      </c>
      <c r="D26" s="19"/>
    </row>
    <row r="27" spans="1:4" x14ac:dyDescent="0.25">
      <c r="A27" s="17" t="s">
        <v>63</v>
      </c>
      <c r="B27" s="17" t="s">
        <v>5</v>
      </c>
      <c r="C27" s="17" t="s">
        <v>76</v>
      </c>
      <c r="D27" s="19"/>
    </row>
    <row r="28" spans="1:4" ht="12.6" thickBot="1" x14ac:dyDescent="0.3">
      <c r="A28" s="20" t="s">
        <v>63</v>
      </c>
      <c r="B28" s="20" t="s">
        <v>8</v>
      </c>
      <c r="C28" s="20" t="s">
        <v>76</v>
      </c>
      <c r="D28" s="19"/>
    </row>
    <row r="29" spans="1:4" x14ac:dyDescent="0.25">
      <c r="A29" s="19"/>
      <c r="B29" s="19"/>
      <c r="C29" s="19"/>
      <c r="D29" s="19"/>
    </row>
    <row r="30" spans="1:4" ht="12.6" thickBot="1" x14ac:dyDescent="0.3">
      <c r="A30" s="19"/>
      <c r="B30" s="19"/>
      <c r="C30" s="19"/>
      <c r="D30" s="19"/>
    </row>
    <row r="31" spans="1:4" ht="12.75" customHeight="1" thickBot="1" x14ac:dyDescent="0.3">
      <c r="A31" s="126" t="s">
        <v>97</v>
      </c>
      <c r="B31" s="126"/>
      <c r="C31" s="126"/>
      <c r="D31" s="19"/>
    </row>
    <row r="32" spans="1:4" ht="12.6" thickBot="1" x14ac:dyDescent="0.3">
      <c r="A32" s="21" t="s">
        <v>71</v>
      </c>
      <c r="B32" s="21" t="s">
        <v>72</v>
      </c>
      <c r="C32" s="21" t="s">
        <v>73</v>
      </c>
      <c r="D32" s="19"/>
    </row>
    <row r="33" spans="1:4" x14ac:dyDescent="0.25">
      <c r="A33" s="17" t="s">
        <v>60</v>
      </c>
      <c r="B33" s="17" t="s">
        <v>79</v>
      </c>
      <c r="C33" s="17" t="s">
        <v>80</v>
      </c>
      <c r="D33" s="19"/>
    </row>
    <row r="34" spans="1:4" x14ac:dyDescent="0.25">
      <c r="A34" s="18" t="s">
        <v>77</v>
      </c>
      <c r="B34" s="18" t="s">
        <v>89</v>
      </c>
      <c r="C34" s="18" t="s">
        <v>90</v>
      </c>
      <c r="D34" s="19"/>
    </row>
    <row r="35" spans="1:4" x14ac:dyDescent="0.25">
      <c r="A35" s="17" t="s">
        <v>63</v>
      </c>
      <c r="B35" s="17" t="s">
        <v>91</v>
      </c>
      <c r="C35" s="17" t="s">
        <v>64</v>
      </c>
      <c r="D35" s="19"/>
    </row>
    <row r="36" spans="1:4" x14ac:dyDescent="0.25">
      <c r="A36" s="18" t="s">
        <v>63</v>
      </c>
      <c r="B36" s="18" t="s">
        <v>92</v>
      </c>
      <c r="C36" s="18" t="s">
        <v>64</v>
      </c>
      <c r="D36" s="19"/>
    </row>
    <row r="37" spans="1:4" x14ac:dyDescent="0.25">
      <c r="A37" s="17" t="s">
        <v>63</v>
      </c>
      <c r="B37" s="17" t="s">
        <v>93</v>
      </c>
      <c r="C37" s="17" t="s">
        <v>64</v>
      </c>
      <c r="D37" s="19"/>
    </row>
    <row r="38" spans="1:4" x14ac:dyDescent="0.25">
      <c r="A38" s="18" t="s">
        <v>63</v>
      </c>
      <c r="B38" s="18" t="s">
        <v>94</v>
      </c>
      <c r="C38" s="18" t="s">
        <v>64</v>
      </c>
      <c r="D38" s="19"/>
    </row>
    <row r="39" spans="1:4" x14ac:dyDescent="0.25">
      <c r="A39" s="17" t="s">
        <v>63</v>
      </c>
      <c r="B39" s="17" t="s">
        <v>95</v>
      </c>
      <c r="C39" s="17" t="s">
        <v>64</v>
      </c>
      <c r="D39" s="19"/>
    </row>
    <row r="40" spans="1:4" ht="12.6" thickBot="1" x14ac:dyDescent="0.3">
      <c r="A40" s="20" t="s">
        <v>63</v>
      </c>
      <c r="B40" s="20" t="s">
        <v>96</v>
      </c>
      <c r="C40" s="20" t="s">
        <v>64</v>
      </c>
      <c r="D40" s="19"/>
    </row>
    <row r="41" spans="1:4" x14ac:dyDescent="0.25">
      <c r="A41" s="19"/>
      <c r="B41" s="19"/>
      <c r="C41" s="19"/>
      <c r="D41" s="19"/>
    </row>
    <row r="42" spans="1:4" ht="12.6" thickBot="1" x14ac:dyDescent="0.3">
      <c r="A42" s="19"/>
      <c r="B42" s="19"/>
      <c r="C42" s="19"/>
      <c r="D42" s="19"/>
    </row>
    <row r="43" spans="1:4" ht="12.75" customHeight="1" thickBot="1" x14ac:dyDescent="0.3">
      <c r="A43" s="126" t="s">
        <v>99</v>
      </c>
      <c r="B43" s="126"/>
      <c r="C43" s="126"/>
      <c r="D43" s="19"/>
    </row>
    <row r="44" spans="1:4" ht="12.6" thickBot="1" x14ac:dyDescent="0.3">
      <c r="A44" s="21" t="s">
        <v>71</v>
      </c>
      <c r="B44" s="21" t="s">
        <v>72</v>
      </c>
      <c r="C44" s="21" t="s">
        <v>73</v>
      </c>
      <c r="D44" s="19"/>
    </row>
    <row r="45" spans="1:4" x14ac:dyDescent="0.25">
      <c r="A45" s="17" t="s">
        <v>60</v>
      </c>
      <c r="B45" s="17" t="s">
        <v>89</v>
      </c>
      <c r="C45" s="17" t="s">
        <v>90</v>
      </c>
      <c r="D45" s="19"/>
    </row>
    <row r="46" spans="1:4" ht="12.6" thickBot="1" x14ac:dyDescent="0.3">
      <c r="A46" s="20" t="s">
        <v>63</v>
      </c>
      <c r="B46" s="20" t="s">
        <v>98</v>
      </c>
      <c r="C46" s="20" t="s">
        <v>64</v>
      </c>
      <c r="D46" s="19"/>
    </row>
    <row r="47" spans="1:4" x14ac:dyDescent="0.25">
      <c r="A47" s="19"/>
      <c r="B47" s="19"/>
      <c r="C47" s="19"/>
      <c r="D47" s="19"/>
    </row>
    <row r="48" spans="1:4" ht="12.6" thickBot="1" x14ac:dyDescent="0.3">
      <c r="A48" s="19"/>
      <c r="B48" s="19"/>
      <c r="C48" s="19"/>
      <c r="D48" s="19"/>
    </row>
    <row r="49" spans="1:3" ht="12.75" customHeight="1" thickBot="1" x14ac:dyDescent="0.3">
      <c r="A49" s="126" t="s">
        <v>120</v>
      </c>
      <c r="B49" s="126"/>
      <c r="C49" s="126"/>
    </row>
    <row r="50" spans="1:3" ht="12.6" thickBot="1" x14ac:dyDescent="0.3">
      <c r="A50" s="21" t="s">
        <v>71</v>
      </c>
      <c r="B50" s="21" t="s">
        <v>72</v>
      </c>
      <c r="C50" s="21" t="s">
        <v>73</v>
      </c>
    </row>
    <row r="51" spans="1:3" x14ac:dyDescent="0.25">
      <c r="A51" s="17" t="s">
        <v>60</v>
      </c>
      <c r="B51" s="17" t="s">
        <v>9</v>
      </c>
      <c r="C51" s="17" t="s">
        <v>76</v>
      </c>
    </row>
    <row r="52" spans="1:3" ht="12.6" thickBot="1" x14ac:dyDescent="0.3">
      <c r="A52" s="20" t="s">
        <v>63</v>
      </c>
      <c r="B52" s="20" t="s">
        <v>100</v>
      </c>
      <c r="C52" s="20" t="s">
        <v>64</v>
      </c>
    </row>
  </sheetData>
  <mergeCells count="5">
    <mergeCell ref="A1:C1"/>
    <mergeCell ref="A13:C13"/>
    <mergeCell ref="A31:C31"/>
    <mergeCell ref="A43:C43"/>
    <mergeCell ref="A49:C49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41C2-204B-4939-BD86-D152430F833F}">
  <dimension ref="A1:B25"/>
  <sheetViews>
    <sheetView workbookViewId="0">
      <selection sqref="A1:B1"/>
    </sheetView>
  </sheetViews>
  <sheetFormatPr baseColWidth="10" defaultColWidth="11.44140625" defaultRowHeight="14.4" x14ac:dyDescent="0.3"/>
  <cols>
    <col min="1" max="1" width="29.33203125" style="3" bestFit="1" customWidth="1"/>
    <col min="2" max="2" width="17.109375" style="3" customWidth="1"/>
    <col min="3" max="16384" width="11.44140625" style="3"/>
  </cols>
  <sheetData>
    <row r="1" spans="1:2" ht="19.5" customHeight="1" thickBot="1" x14ac:dyDescent="0.35">
      <c r="A1" s="22" t="s">
        <v>98</v>
      </c>
      <c r="B1" s="22" t="s">
        <v>188</v>
      </c>
    </row>
    <row r="2" spans="1:2" x14ac:dyDescent="0.3">
      <c r="A2" s="4" t="s">
        <v>189</v>
      </c>
      <c r="B2" s="4" t="s">
        <v>190</v>
      </c>
    </row>
    <row r="3" spans="1:2" x14ac:dyDescent="0.3">
      <c r="A3" s="5" t="s">
        <v>191</v>
      </c>
      <c r="B3" s="5" t="s">
        <v>191</v>
      </c>
    </row>
    <row r="4" spans="1:2" x14ac:dyDescent="0.3">
      <c r="A4" s="4" t="s">
        <v>192</v>
      </c>
      <c r="B4" s="4" t="s">
        <v>192</v>
      </c>
    </row>
    <row r="5" spans="1:2" x14ac:dyDescent="0.3">
      <c r="A5" s="5" t="s">
        <v>193</v>
      </c>
      <c r="B5" s="5" t="s">
        <v>193</v>
      </c>
    </row>
    <row r="6" spans="1:2" x14ac:dyDescent="0.3">
      <c r="A6" s="4" t="s">
        <v>194</v>
      </c>
      <c r="B6" s="4" t="s">
        <v>195</v>
      </c>
    </row>
    <row r="7" spans="1:2" x14ac:dyDescent="0.3">
      <c r="A7" s="5" t="s">
        <v>196</v>
      </c>
      <c r="B7" s="5" t="s">
        <v>196</v>
      </c>
    </row>
    <row r="8" spans="1:2" x14ac:dyDescent="0.3">
      <c r="A8" s="4" t="s">
        <v>197</v>
      </c>
      <c r="B8" s="4" t="s">
        <v>197</v>
      </c>
    </row>
    <row r="9" spans="1:2" x14ac:dyDescent="0.3">
      <c r="A9" s="5" t="s">
        <v>198</v>
      </c>
      <c r="B9" s="5" t="s">
        <v>198</v>
      </c>
    </row>
    <row r="10" spans="1:2" x14ac:dyDescent="0.3">
      <c r="A10" s="4" t="s">
        <v>199</v>
      </c>
      <c r="B10" s="4" t="s">
        <v>199</v>
      </c>
    </row>
    <row r="11" spans="1:2" x14ac:dyDescent="0.3">
      <c r="A11" s="5" t="s">
        <v>200</v>
      </c>
      <c r="B11" s="5" t="s">
        <v>200</v>
      </c>
    </row>
    <row r="12" spans="1:2" x14ac:dyDescent="0.3">
      <c r="A12" s="5" t="s">
        <v>201</v>
      </c>
      <c r="B12" s="5" t="s">
        <v>201</v>
      </c>
    </row>
    <row r="13" spans="1:2" x14ac:dyDescent="0.3">
      <c r="A13" s="4" t="s">
        <v>202</v>
      </c>
      <c r="B13" s="4" t="s">
        <v>202</v>
      </c>
    </row>
    <row r="14" spans="1:2" x14ac:dyDescent="0.3">
      <c r="A14" s="5" t="s">
        <v>203</v>
      </c>
      <c r="B14" s="5" t="s">
        <v>203</v>
      </c>
    </row>
    <row r="15" spans="1:2" x14ac:dyDescent="0.3">
      <c r="A15" s="4" t="s">
        <v>204</v>
      </c>
      <c r="B15" s="4" t="s">
        <v>204</v>
      </c>
    </row>
    <row r="16" spans="1:2" x14ac:dyDescent="0.3">
      <c r="A16" s="5" t="s">
        <v>205</v>
      </c>
      <c r="B16" s="5" t="s">
        <v>205</v>
      </c>
    </row>
    <row r="17" spans="1:2" x14ac:dyDescent="0.3">
      <c r="A17" s="4" t="s">
        <v>206</v>
      </c>
      <c r="B17" s="4" t="s">
        <v>206</v>
      </c>
    </row>
    <row r="18" spans="1:2" x14ac:dyDescent="0.3">
      <c r="A18" s="5" t="s">
        <v>207</v>
      </c>
      <c r="B18" s="5" t="s">
        <v>207</v>
      </c>
    </row>
    <row r="19" spans="1:2" x14ac:dyDescent="0.3">
      <c r="A19" s="4" t="s">
        <v>208</v>
      </c>
      <c r="B19" s="4" t="s">
        <v>208</v>
      </c>
    </row>
    <row r="20" spans="1:2" x14ac:dyDescent="0.3">
      <c r="A20" s="5" t="s">
        <v>209</v>
      </c>
      <c r="B20" s="5" t="s">
        <v>209</v>
      </c>
    </row>
    <row r="21" spans="1:2" x14ac:dyDescent="0.3">
      <c r="A21" s="4" t="s">
        <v>210</v>
      </c>
      <c r="B21" s="4" t="s">
        <v>211</v>
      </c>
    </row>
    <row r="22" spans="1:2" x14ac:dyDescent="0.3">
      <c r="A22" s="5" t="s">
        <v>212</v>
      </c>
      <c r="B22" s="5" t="s">
        <v>213</v>
      </c>
    </row>
    <row r="23" spans="1:2" x14ac:dyDescent="0.3">
      <c r="A23" s="4" t="s">
        <v>214</v>
      </c>
      <c r="B23" s="4" t="s">
        <v>215</v>
      </c>
    </row>
    <row r="24" spans="1:2" x14ac:dyDescent="0.3">
      <c r="A24" s="5" t="s">
        <v>216</v>
      </c>
      <c r="B24" s="5" t="s">
        <v>216</v>
      </c>
    </row>
    <row r="25" spans="1:2" ht="15" thickBot="1" x14ac:dyDescent="0.35">
      <c r="A25" s="6" t="s">
        <v>217</v>
      </c>
      <c r="B25" s="6" t="s">
        <v>217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84D5B-9B78-418E-9ACA-DC1C397F46B5}">
  <sheetPr>
    <tabColor rgb="FFFFC000"/>
  </sheetPr>
  <dimension ref="A1:K15"/>
  <sheetViews>
    <sheetView workbookViewId="0">
      <selection sqref="A1:D13"/>
    </sheetView>
  </sheetViews>
  <sheetFormatPr baseColWidth="10" defaultColWidth="11.44140625" defaultRowHeight="14.4" x14ac:dyDescent="0.3"/>
  <cols>
    <col min="1" max="1" width="11.44140625" style="68"/>
    <col min="2" max="2" width="13.109375" style="68" customWidth="1"/>
    <col min="3" max="3" width="40.6640625" style="68" customWidth="1"/>
    <col min="4" max="4" width="37.88671875" style="67" customWidth="1"/>
    <col min="5" max="6" width="11.44140625" style="67"/>
    <col min="7" max="7" width="11.5546875"/>
    <col min="8" max="8" width="40.6640625" customWidth="1"/>
    <col min="9" max="9" width="62.109375" bestFit="1" customWidth="1"/>
    <col min="10" max="11" width="11.5546875" customWidth="1"/>
    <col min="12" max="16384" width="11.44140625" style="67"/>
  </cols>
  <sheetData>
    <row r="1" spans="1:4" ht="24" customHeight="1" thickBot="1" x14ac:dyDescent="0.35">
      <c r="A1" s="70" t="s">
        <v>284</v>
      </c>
      <c r="B1" s="70" t="s">
        <v>285</v>
      </c>
      <c r="C1" s="70" t="s">
        <v>286</v>
      </c>
      <c r="D1" s="70" t="s">
        <v>287</v>
      </c>
    </row>
    <row r="2" spans="1:4" x14ac:dyDescent="0.3">
      <c r="A2" s="27" t="s">
        <v>301</v>
      </c>
      <c r="B2" s="71">
        <v>44635</v>
      </c>
      <c r="C2" s="72" t="s">
        <v>289</v>
      </c>
      <c r="D2" s="73" t="s">
        <v>288</v>
      </c>
    </row>
    <row r="3" spans="1:4" x14ac:dyDescent="0.3">
      <c r="A3" s="35" t="s">
        <v>302</v>
      </c>
      <c r="B3" s="74">
        <v>44640</v>
      </c>
      <c r="C3" s="75" t="s">
        <v>290</v>
      </c>
      <c r="D3" s="76" t="s">
        <v>291</v>
      </c>
    </row>
    <row r="4" spans="1:4" x14ac:dyDescent="0.3">
      <c r="A4" s="27" t="s">
        <v>303</v>
      </c>
      <c r="B4" s="71">
        <v>44643</v>
      </c>
      <c r="C4" s="72" t="s">
        <v>292</v>
      </c>
      <c r="D4" s="73" t="s">
        <v>293</v>
      </c>
    </row>
    <row r="5" spans="1:4" x14ac:dyDescent="0.3">
      <c r="A5" s="35" t="s">
        <v>304</v>
      </c>
      <c r="B5" s="74">
        <v>44649</v>
      </c>
      <c r="C5" s="75" t="s">
        <v>294</v>
      </c>
      <c r="D5" s="76" t="s">
        <v>295</v>
      </c>
    </row>
    <row r="6" spans="1:4" x14ac:dyDescent="0.3">
      <c r="A6" s="27" t="s">
        <v>305</v>
      </c>
      <c r="B6" s="71">
        <v>44651</v>
      </c>
      <c r="C6" s="72" t="s">
        <v>297</v>
      </c>
      <c r="D6" s="73" t="s">
        <v>296</v>
      </c>
    </row>
    <row r="7" spans="1:4" x14ac:dyDescent="0.3">
      <c r="A7" s="35" t="s">
        <v>306</v>
      </c>
      <c r="B7" s="74">
        <v>44656</v>
      </c>
      <c r="C7" s="75" t="s">
        <v>425</v>
      </c>
      <c r="D7" s="76" t="s">
        <v>298</v>
      </c>
    </row>
    <row r="8" spans="1:4" x14ac:dyDescent="0.3">
      <c r="A8" s="27" t="s">
        <v>300</v>
      </c>
      <c r="B8" s="71">
        <v>44663</v>
      </c>
      <c r="C8" s="72" t="s">
        <v>426</v>
      </c>
      <c r="D8" s="73" t="s">
        <v>299</v>
      </c>
    </row>
    <row r="9" spans="1:4" x14ac:dyDescent="0.3">
      <c r="A9" s="35" t="s">
        <v>421</v>
      </c>
      <c r="B9" s="74">
        <v>44673</v>
      </c>
      <c r="C9" s="75" t="s">
        <v>427</v>
      </c>
      <c r="D9" s="76" t="s">
        <v>299</v>
      </c>
    </row>
    <row r="10" spans="1:4" x14ac:dyDescent="0.3">
      <c r="A10" s="27" t="s">
        <v>422</v>
      </c>
      <c r="B10" s="71">
        <v>44675</v>
      </c>
      <c r="C10" s="72" t="s">
        <v>428</v>
      </c>
      <c r="D10" s="73" t="s">
        <v>299</v>
      </c>
    </row>
    <row r="11" spans="1:4" x14ac:dyDescent="0.3">
      <c r="A11" s="35" t="s">
        <v>423</v>
      </c>
      <c r="B11" s="74">
        <v>44676</v>
      </c>
      <c r="C11" s="75" t="s">
        <v>429</v>
      </c>
      <c r="D11" s="76" t="s">
        <v>299</v>
      </c>
    </row>
    <row r="12" spans="1:4" x14ac:dyDescent="0.3">
      <c r="A12" s="27" t="s">
        <v>424</v>
      </c>
      <c r="B12" s="71">
        <v>44676</v>
      </c>
      <c r="C12" s="72" t="s">
        <v>430</v>
      </c>
      <c r="D12" s="73" t="s">
        <v>299</v>
      </c>
    </row>
    <row r="13" spans="1:4" ht="15" thickBot="1" x14ac:dyDescent="0.35">
      <c r="A13" s="85" t="s">
        <v>420</v>
      </c>
      <c r="B13" s="108">
        <v>44678</v>
      </c>
      <c r="C13" s="109" t="s">
        <v>425</v>
      </c>
      <c r="D13" s="110" t="s">
        <v>299</v>
      </c>
    </row>
    <row r="14" spans="1:4" x14ac:dyDescent="0.3">
      <c r="C14" s="69"/>
    </row>
    <row r="15" spans="1:4" x14ac:dyDescent="0.3">
      <c r="C15" s="69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D497-41CA-4397-AAC2-5CCE945E938F}">
  <sheetPr>
    <tabColor rgb="FFFFC000"/>
  </sheetPr>
  <dimension ref="A1:E19"/>
  <sheetViews>
    <sheetView tabSelected="1" workbookViewId="0">
      <selection sqref="A1:C19"/>
    </sheetView>
  </sheetViews>
  <sheetFormatPr baseColWidth="10" defaultColWidth="11.44140625" defaultRowHeight="14.4" x14ac:dyDescent="0.3"/>
  <cols>
    <col min="1" max="1" width="11.44140625" style="111"/>
    <col min="2" max="2" width="23.109375" style="7" customWidth="1"/>
    <col min="3" max="3" width="62.109375" style="7" bestFit="1" customWidth="1"/>
    <col min="4" max="5" width="11.44140625" style="3"/>
    <col min="6" max="16384" width="11.44140625" style="7"/>
  </cols>
  <sheetData>
    <row r="1" spans="1:3" ht="24" customHeight="1" thickBot="1" x14ac:dyDescent="0.35">
      <c r="A1" s="70" t="s">
        <v>284</v>
      </c>
      <c r="B1" s="70" t="s">
        <v>286</v>
      </c>
      <c r="C1" s="70" t="s">
        <v>401</v>
      </c>
    </row>
    <row r="2" spans="1:3" ht="28.8" x14ac:dyDescent="0.3">
      <c r="A2" s="112" t="s">
        <v>300</v>
      </c>
      <c r="B2" s="113" t="s">
        <v>426</v>
      </c>
      <c r="C2" s="114" t="s">
        <v>402</v>
      </c>
    </row>
    <row r="3" spans="1:3" x14ac:dyDescent="0.3">
      <c r="A3" s="127" t="s">
        <v>421</v>
      </c>
      <c r="B3" s="129" t="s">
        <v>427</v>
      </c>
      <c r="C3" s="115" t="s">
        <v>403</v>
      </c>
    </row>
    <row r="4" spans="1:3" x14ac:dyDescent="0.3">
      <c r="A4" s="133"/>
      <c r="B4" s="134"/>
      <c r="C4" s="12" t="s">
        <v>404</v>
      </c>
    </row>
    <row r="5" spans="1:3" x14ac:dyDescent="0.3">
      <c r="A5" s="133"/>
      <c r="B5" s="134"/>
      <c r="C5" s="33" t="s">
        <v>405</v>
      </c>
    </row>
    <row r="6" spans="1:3" x14ac:dyDescent="0.3">
      <c r="A6" s="133"/>
      <c r="B6" s="134"/>
      <c r="C6" s="12" t="s">
        <v>406</v>
      </c>
    </row>
    <row r="7" spans="1:3" x14ac:dyDescent="0.3">
      <c r="A7" s="133"/>
      <c r="B7" s="134"/>
      <c r="C7" s="33" t="s">
        <v>407</v>
      </c>
    </row>
    <row r="8" spans="1:3" x14ac:dyDescent="0.3">
      <c r="A8" s="128"/>
      <c r="B8" s="130"/>
      <c r="C8" s="118" t="s">
        <v>408</v>
      </c>
    </row>
    <row r="9" spans="1:3" ht="28.8" x14ac:dyDescent="0.3">
      <c r="A9" s="127" t="s">
        <v>422</v>
      </c>
      <c r="B9" s="129" t="s">
        <v>428</v>
      </c>
      <c r="C9" s="115" t="s">
        <v>409</v>
      </c>
    </row>
    <row r="10" spans="1:3" x14ac:dyDescent="0.3">
      <c r="A10" s="133"/>
      <c r="B10" s="134"/>
      <c r="C10" s="12" t="s">
        <v>410</v>
      </c>
    </row>
    <row r="11" spans="1:3" x14ac:dyDescent="0.3">
      <c r="A11" s="133"/>
      <c r="B11" s="134"/>
      <c r="C11" s="33" t="s">
        <v>411</v>
      </c>
    </row>
    <row r="12" spans="1:3" ht="28.8" x14ac:dyDescent="0.3">
      <c r="A12" s="128"/>
      <c r="B12" s="130"/>
      <c r="C12" s="118" t="s">
        <v>412</v>
      </c>
    </row>
    <row r="13" spans="1:3" x14ac:dyDescent="0.3">
      <c r="A13" s="127" t="s">
        <v>423</v>
      </c>
      <c r="B13" s="129" t="s">
        <v>429</v>
      </c>
      <c r="C13" s="115" t="s">
        <v>413</v>
      </c>
    </row>
    <row r="14" spans="1:3" x14ac:dyDescent="0.3">
      <c r="A14" s="133"/>
      <c r="B14" s="134"/>
      <c r="C14" s="12" t="s">
        <v>414</v>
      </c>
    </row>
    <row r="15" spans="1:3" x14ac:dyDescent="0.3">
      <c r="A15" s="128"/>
      <c r="B15" s="130"/>
      <c r="C15" s="116" t="s">
        <v>415</v>
      </c>
    </row>
    <row r="16" spans="1:3" x14ac:dyDescent="0.3">
      <c r="A16" s="127" t="s">
        <v>424</v>
      </c>
      <c r="B16" s="129" t="s">
        <v>430</v>
      </c>
      <c r="C16" s="117" t="s">
        <v>416</v>
      </c>
    </row>
    <row r="17" spans="1:3" ht="28.8" x14ac:dyDescent="0.3">
      <c r="A17" s="128"/>
      <c r="B17" s="130"/>
      <c r="C17" s="116" t="s">
        <v>417</v>
      </c>
    </row>
    <row r="18" spans="1:3" x14ac:dyDescent="0.3">
      <c r="A18" s="127" t="s">
        <v>420</v>
      </c>
      <c r="B18" s="129" t="s">
        <v>425</v>
      </c>
      <c r="C18" s="117" t="s">
        <v>418</v>
      </c>
    </row>
    <row r="19" spans="1:3" ht="15" thickBot="1" x14ac:dyDescent="0.35">
      <c r="A19" s="131"/>
      <c r="B19" s="132"/>
      <c r="C19" s="119" t="s">
        <v>419</v>
      </c>
    </row>
  </sheetData>
  <mergeCells count="10">
    <mergeCell ref="A16:A17"/>
    <mergeCell ref="B16:B17"/>
    <mergeCell ref="A18:A19"/>
    <mergeCell ref="B18:B19"/>
    <mergeCell ref="A3:A8"/>
    <mergeCell ref="B3:B8"/>
    <mergeCell ref="A9:A12"/>
    <mergeCell ref="B9:B12"/>
    <mergeCell ref="A13:A15"/>
    <mergeCell ref="B13:B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sqref="A1:D6"/>
    </sheetView>
  </sheetViews>
  <sheetFormatPr baseColWidth="10" defaultColWidth="9.109375" defaultRowHeight="14.4" x14ac:dyDescent="0.3"/>
  <cols>
    <col min="1" max="1" width="13.88671875" customWidth="1"/>
    <col min="2" max="2" width="20.109375" customWidth="1"/>
    <col min="3" max="3" width="16.5546875" customWidth="1"/>
    <col min="4" max="4" width="19.5546875" customWidth="1"/>
  </cols>
  <sheetData>
    <row r="1" spans="1:4" ht="21.75" customHeight="1" thickBot="1" x14ac:dyDescent="0.35">
      <c r="A1" s="22" t="s">
        <v>0</v>
      </c>
      <c r="B1" s="22" t="s">
        <v>1</v>
      </c>
      <c r="C1" s="22" t="s">
        <v>2</v>
      </c>
      <c r="D1" s="2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8</v>
      </c>
      <c r="C3" s="1" t="s">
        <v>6</v>
      </c>
      <c r="D3" s="1" t="s">
        <v>7</v>
      </c>
    </row>
    <row r="4" spans="1:4" x14ac:dyDescent="0.3">
      <c r="A4" s="1" t="s">
        <v>4</v>
      </c>
      <c r="B4" s="1" t="s">
        <v>9</v>
      </c>
      <c r="C4" s="1" t="s">
        <v>10</v>
      </c>
      <c r="D4" s="1" t="s">
        <v>6</v>
      </c>
    </row>
    <row r="5" spans="1:4" x14ac:dyDescent="0.3">
      <c r="A5" s="1" t="s">
        <v>4</v>
      </c>
      <c r="B5" s="1" t="s">
        <v>11</v>
      </c>
      <c r="C5" s="1" t="s">
        <v>6</v>
      </c>
      <c r="D5" s="1" t="s">
        <v>7</v>
      </c>
    </row>
    <row r="6" spans="1:4" ht="15" thickBot="1" x14ac:dyDescent="0.35">
      <c r="A6" s="2" t="s">
        <v>4</v>
      </c>
      <c r="B6" s="2" t="s">
        <v>12</v>
      </c>
      <c r="C6" s="2" t="s">
        <v>6</v>
      </c>
      <c r="D6" s="2" t="s">
        <v>7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C26C-1195-404E-968B-65ABE0BD804C}">
  <dimension ref="A1:B25"/>
  <sheetViews>
    <sheetView workbookViewId="0">
      <selection activeCell="I7" sqref="I7"/>
    </sheetView>
  </sheetViews>
  <sheetFormatPr baseColWidth="10" defaultColWidth="11.44140625" defaultRowHeight="14.4" x14ac:dyDescent="0.3"/>
  <cols>
    <col min="1" max="1" width="21.44140625" style="7" customWidth="1"/>
    <col min="2" max="2" width="63.6640625" style="7" customWidth="1"/>
    <col min="3" max="16384" width="11.44140625" style="7"/>
  </cols>
  <sheetData>
    <row r="1" spans="1:2" ht="30" customHeight="1" thickBot="1" x14ac:dyDescent="0.35">
      <c r="A1" s="25" t="s">
        <v>15</v>
      </c>
      <c r="B1" s="25" t="s">
        <v>16</v>
      </c>
    </row>
    <row r="2" spans="1:2" ht="30" customHeight="1" x14ac:dyDescent="0.3">
      <c r="A2" s="8" t="s">
        <v>101</v>
      </c>
      <c r="B2" s="8" t="s">
        <v>17</v>
      </c>
    </row>
    <row r="3" spans="1:2" ht="30" customHeight="1" thickBot="1" x14ac:dyDescent="0.35">
      <c r="A3" s="11" t="s">
        <v>102</v>
      </c>
      <c r="B3" s="11" t="s">
        <v>18</v>
      </c>
    </row>
    <row r="4" spans="1:2" ht="30" customHeight="1" x14ac:dyDescent="0.3">
      <c r="A4" s="8"/>
      <c r="B4" s="8"/>
    </row>
    <row r="5" spans="1:2" ht="30" customHeight="1" thickBot="1" x14ac:dyDescent="0.35"/>
    <row r="6" spans="1:2" ht="30" customHeight="1" thickBot="1" x14ac:dyDescent="0.35">
      <c r="A6" s="25" t="s">
        <v>15</v>
      </c>
      <c r="B6" s="25" t="s">
        <v>16</v>
      </c>
    </row>
    <row r="7" spans="1:2" ht="30" customHeight="1" x14ac:dyDescent="0.3">
      <c r="A7" s="8" t="s">
        <v>108</v>
      </c>
      <c r="B7" s="8" t="s">
        <v>19</v>
      </c>
    </row>
    <row r="8" spans="1:2" ht="30" customHeight="1" x14ac:dyDescent="0.3">
      <c r="A8" s="10" t="s">
        <v>109</v>
      </c>
      <c r="B8" s="10" t="s">
        <v>21</v>
      </c>
    </row>
    <row r="9" spans="1:2" ht="30" customHeight="1" x14ac:dyDescent="0.3">
      <c r="A9" s="8" t="s">
        <v>110</v>
      </c>
      <c r="B9" s="8" t="s">
        <v>20</v>
      </c>
    </row>
    <row r="10" spans="1:2" ht="30" customHeight="1" thickBot="1" x14ac:dyDescent="0.35">
      <c r="A10" s="11" t="s">
        <v>111</v>
      </c>
      <c r="B10" s="11" t="s">
        <v>22</v>
      </c>
    </row>
    <row r="11" spans="1:2" ht="30" customHeight="1" x14ac:dyDescent="0.3"/>
    <row r="12" spans="1:2" ht="30" customHeight="1" thickBot="1" x14ac:dyDescent="0.35"/>
    <row r="13" spans="1:2" ht="30" customHeight="1" thickBot="1" x14ac:dyDescent="0.35">
      <c r="A13" s="25" t="s">
        <v>15</v>
      </c>
      <c r="B13" s="25" t="s">
        <v>16</v>
      </c>
    </row>
    <row r="14" spans="1:2" ht="30" customHeight="1" x14ac:dyDescent="0.3">
      <c r="A14" s="10" t="s">
        <v>112</v>
      </c>
      <c r="B14" s="10" t="s">
        <v>23</v>
      </c>
    </row>
    <row r="15" spans="1:2" ht="30" customHeight="1" x14ac:dyDescent="0.3">
      <c r="A15" s="8" t="s">
        <v>113</v>
      </c>
      <c r="B15" s="8" t="s">
        <v>25</v>
      </c>
    </row>
    <row r="16" spans="1:2" ht="30" customHeight="1" x14ac:dyDescent="0.3">
      <c r="A16" s="10" t="s">
        <v>389</v>
      </c>
      <c r="B16" s="10" t="s">
        <v>24</v>
      </c>
    </row>
    <row r="17" spans="1:2" ht="30" customHeight="1" thickBot="1" x14ac:dyDescent="0.35">
      <c r="A17" s="9" t="s">
        <v>114</v>
      </c>
      <c r="B17" s="9" t="s">
        <v>26</v>
      </c>
    </row>
    <row r="18" spans="1:2" ht="30" customHeight="1" x14ac:dyDescent="0.3"/>
    <row r="19" spans="1:2" ht="30" customHeight="1" thickBot="1" x14ac:dyDescent="0.35"/>
    <row r="20" spans="1:2" ht="30" customHeight="1" thickBot="1" x14ac:dyDescent="0.35">
      <c r="A20" s="25" t="s">
        <v>15</v>
      </c>
      <c r="B20" s="25" t="s">
        <v>16</v>
      </c>
    </row>
    <row r="21" spans="1:2" ht="30" customHeight="1" x14ac:dyDescent="0.3">
      <c r="A21" s="24" t="s">
        <v>104</v>
      </c>
      <c r="B21" s="24" t="s">
        <v>106</v>
      </c>
    </row>
    <row r="22" spans="1:2" ht="30" customHeight="1" thickBot="1" x14ac:dyDescent="0.35">
      <c r="A22" s="11" t="s">
        <v>105</v>
      </c>
      <c r="B22" s="11" t="s">
        <v>107</v>
      </c>
    </row>
    <row r="23" spans="1:2" ht="30" customHeight="1" thickBot="1" x14ac:dyDescent="0.35"/>
    <row r="24" spans="1:2" ht="30" customHeight="1" thickBot="1" x14ac:dyDescent="0.35">
      <c r="A24" s="25" t="s">
        <v>15</v>
      </c>
      <c r="B24" s="25" t="s">
        <v>16</v>
      </c>
    </row>
    <row r="25" spans="1:2" ht="42" customHeight="1" thickBot="1" x14ac:dyDescent="0.35">
      <c r="A25" s="23" t="s">
        <v>103</v>
      </c>
      <c r="B25" s="23" t="s">
        <v>27</v>
      </c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9A14-2C9E-428E-97AD-0D6102691ABA}">
  <sheetPr>
    <tabColor rgb="FFFFFF00"/>
  </sheetPr>
  <dimension ref="A1:L25"/>
  <sheetViews>
    <sheetView workbookViewId="0">
      <selection activeCell="F31" sqref="F31"/>
    </sheetView>
  </sheetViews>
  <sheetFormatPr baseColWidth="10" defaultColWidth="11.44140625" defaultRowHeight="14.4" x14ac:dyDescent="0.3"/>
  <cols>
    <col min="1" max="1" width="16.109375" style="68" bestFit="1" customWidth="1"/>
    <col min="2" max="2" width="32.109375" style="67" bestFit="1" customWidth="1"/>
    <col min="3" max="3" width="16.109375" style="67" customWidth="1"/>
    <col min="4" max="4" width="19" style="67" bestFit="1" customWidth="1"/>
    <col min="5" max="5" width="19.109375" style="67" bestFit="1" customWidth="1"/>
    <col min="6" max="6" width="16.88671875" style="67" bestFit="1" customWidth="1"/>
    <col min="7" max="10" width="11.44140625" style="68"/>
    <col min="11" max="11" width="22.109375" style="67" bestFit="1" customWidth="1"/>
    <col min="12" max="12" width="17.6640625" style="67" bestFit="1" customWidth="1"/>
    <col min="13" max="16384" width="11.44140625" style="67"/>
  </cols>
  <sheetData>
    <row r="1" spans="1:12" ht="26.25" customHeight="1" thickBot="1" x14ac:dyDescent="0.35">
      <c r="A1" s="77" t="s">
        <v>89</v>
      </c>
      <c r="B1" s="77" t="s">
        <v>98</v>
      </c>
      <c r="C1" s="82" t="s">
        <v>188</v>
      </c>
      <c r="D1" s="82" t="s">
        <v>307</v>
      </c>
      <c r="E1" s="82" t="s">
        <v>308</v>
      </c>
      <c r="F1" s="77" t="s">
        <v>309</v>
      </c>
      <c r="G1" s="77" t="s">
        <v>310</v>
      </c>
      <c r="H1" s="77" t="s">
        <v>311</v>
      </c>
      <c r="I1" s="77" t="s">
        <v>312</v>
      </c>
      <c r="J1" s="77" t="s">
        <v>313</v>
      </c>
      <c r="K1" s="77" t="s">
        <v>314</v>
      </c>
      <c r="L1" s="77" t="s">
        <v>315</v>
      </c>
    </row>
    <row r="2" spans="1:12" x14ac:dyDescent="0.3">
      <c r="A2" s="78" t="s">
        <v>316</v>
      </c>
      <c r="B2" s="79" t="s">
        <v>189</v>
      </c>
      <c r="C2" s="79" t="s">
        <v>190</v>
      </c>
      <c r="D2" s="79">
        <v>-366769415180527</v>
      </c>
      <c r="E2" s="79">
        <v>-605588319815719</v>
      </c>
      <c r="F2" s="78" t="s">
        <v>317</v>
      </c>
      <c r="G2" s="78">
        <v>12</v>
      </c>
      <c r="H2" s="78">
        <v>1</v>
      </c>
      <c r="I2" s="78" t="s">
        <v>318</v>
      </c>
      <c r="J2" s="78" t="s">
        <v>228</v>
      </c>
      <c r="K2" s="79" t="s">
        <v>189</v>
      </c>
      <c r="L2" s="79" t="s">
        <v>319</v>
      </c>
    </row>
    <row r="3" spans="1:12" x14ac:dyDescent="0.3">
      <c r="A3" s="35" t="s">
        <v>320</v>
      </c>
      <c r="B3" s="76" t="s">
        <v>191</v>
      </c>
      <c r="C3" s="76" t="s">
        <v>191</v>
      </c>
      <c r="D3" s="76">
        <v>-273358332810217</v>
      </c>
      <c r="E3" s="76">
        <v>-669476824299928</v>
      </c>
      <c r="F3" s="35" t="s">
        <v>317</v>
      </c>
      <c r="G3" s="35">
        <v>12</v>
      </c>
      <c r="H3" s="35">
        <v>3</v>
      </c>
      <c r="I3" s="35" t="s">
        <v>318</v>
      </c>
      <c r="J3" s="35" t="s">
        <v>228</v>
      </c>
      <c r="K3" s="76" t="s">
        <v>191</v>
      </c>
      <c r="L3" s="76" t="s">
        <v>319</v>
      </c>
    </row>
    <row r="4" spans="1:12" x14ac:dyDescent="0.3">
      <c r="A4" s="27" t="s">
        <v>321</v>
      </c>
      <c r="B4" s="73" t="s">
        <v>192</v>
      </c>
      <c r="C4" s="73" t="s">
        <v>192</v>
      </c>
      <c r="D4" s="73">
        <v>-263864309061226</v>
      </c>
      <c r="E4" s="73">
        <v>-607658307438603</v>
      </c>
      <c r="F4" s="27" t="s">
        <v>317</v>
      </c>
      <c r="G4" s="27">
        <v>12</v>
      </c>
      <c r="H4" s="27">
        <v>4</v>
      </c>
      <c r="I4" s="27" t="s">
        <v>318</v>
      </c>
      <c r="J4" s="27" t="s">
        <v>228</v>
      </c>
      <c r="K4" s="73" t="s">
        <v>192</v>
      </c>
      <c r="L4" s="73" t="s">
        <v>319</v>
      </c>
    </row>
    <row r="5" spans="1:12" x14ac:dyDescent="0.3">
      <c r="A5" s="35" t="s">
        <v>322</v>
      </c>
      <c r="B5" s="76" t="s">
        <v>193</v>
      </c>
      <c r="C5" s="76" t="s">
        <v>193</v>
      </c>
      <c r="D5" s="76">
        <v>-437886233529878</v>
      </c>
      <c r="E5" s="76">
        <v>-685267593943345</v>
      </c>
      <c r="F5" s="35" t="s">
        <v>317</v>
      </c>
      <c r="G5" s="35">
        <v>12</v>
      </c>
      <c r="H5" s="35">
        <v>5</v>
      </c>
      <c r="I5" s="35" t="s">
        <v>318</v>
      </c>
      <c r="J5" s="35" t="s">
        <v>228</v>
      </c>
      <c r="K5" s="76" t="s">
        <v>193</v>
      </c>
      <c r="L5" s="76" t="s">
        <v>319</v>
      </c>
    </row>
    <row r="6" spans="1:12" x14ac:dyDescent="0.3">
      <c r="A6" s="27" t="s">
        <v>323</v>
      </c>
      <c r="B6" s="73" t="s">
        <v>194</v>
      </c>
      <c r="C6" s="73" t="s">
        <v>195</v>
      </c>
      <c r="D6" s="73">
        <v>-346144934119689</v>
      </c>
      <c r="E6" s="73">
        <v>-584458563545429</v>
      </c>
      <c r="F6" s="27" t="s">
        <v>324</v>
      </c>
      <c r="G6" s="27">
        <v>12</v>
      </c>
      <c r="H6" s="27">
        <v>6</v>
      </c>
      <c r="I6" s="27" t="s">
        <v>318</v>
      </c>
      <c r="J6" s="27" t="s">
        <v>228</v>
      </c>
      <c r="K6" s="73" t="s">
        <v>325</v>
      </c>
      <c r="L6" s="73" t="s">
        <v>326</v>
      </c>
    </row>
    <row r="7" spans="1:12" x14ac:dyDescent="0.3">
      <c r="A7" s="35" t="s">
        <v>327</v>
      </c>
      <c r="B7" s="76" t="s">
        <v>196</v>
      </c>
      <c r="C7" s="76" t="s">
        <v>196</v>
      </c>
      <c r="D7" s="76">
        <v>-32142932663607</v>
      </c>
      <c r="E7" s="76">
        <v>-638017532741662</v>
      </c>
      <c r="F7" s="35" t="s">
        <v>317</v>
      </c>
      <c r="G7" s="35">
        <v>12</v>
      </c>
      <c r="H7" s="35">
        <v>2</v>
      </c>
      <c r="I7" s="35" t="s">
        <v>318</v>
      </c>
      <c r="J7" s="35" t="s">
        <v>228</v>
      </c>
      <c r="K7" s="76" t="s">
        <v>196</v>
      </c>
      <c r="L7" s="76" t="s">
        <v>319</v>
      </c>
    </row>
    <row r="8" spans="1:12" x14ac:dyDescent="0.3">
      <c r="A8" s="27" t="s">
        <v>328</v>
      </c>
      <c r="B8" s="73" t="s">
        <v>197</v>
      </c>
      <c r="C8" s="73" t="s">
        <v>197</v>
      </c>
      <c r="D8" s="73">
        <v>-287743047046407</v>
      </c>
      <c r="E8" s="73">
        <v>-578012191977913</v>
      </c>
      <c r="F8" s="27" t="s">
        <v>317</v>
      </c>
      <c r="G8" s="27">
        <v>12</v>
      </c>
      <c r="H8" s="27">
        <v>7</v>
      </c>
      <c r="I8" s="27" t="s">
        <v>318</v>
      </c>
      <c r="J8" s="27" t="s">
        <v>228</v>
      </c>
      <c r="K8" s="73" t="s">
        <v>197</v>
      </c>
      <c r="L8" s="73" t="s">
        <v>319</v>
      </c>
    </row>
    <row r="9" spans="1:12" x14ac:dyDescent="0.3">
      <c r="A9" s="35" t="s">
        <v>329</v>
      </c>
      <c r="B9" s="76" t="s">
        <v>198</v>
      </c>
      <c r="C9" s="76" t="s">
        <v>198</v>
      </c>
      <c r="D9" s="76">
        <v>-320588735436448</v>
      </c>
      <c r="E9" s="76">
        <v>-592014475514635</v>
      </c>
      <c r="F9" s="35" t="s">
        <v>317</v>
      </c>
      <c r="G9" s="35">
        <v>12</v>
      </c>
      <c r="H9" s="35">
        <v>8</v>
      </c>
      <c r="I9" s="35" t="s">
        <v>318</v>
      </c>
      <c r="J9" s="35" t="s">
        <v>228</v>
      </c>
      <c r="K9" s="76" t="s">
        <v>198</v>
      </c>
      <c r="L9" s="76" t="s">
        <v>319</v>
      </c>
    </row>
    <row r="10" spans="1:12" x14ac:dyDescent="0.3">
      <c r="A10" s="27" t="s">
        <v>330</v>
      </c>
      <c r="B10" s="73" t="s">
        <v>199</v>
      </c>
      <c r="C10" s="73" t="s">
        <v>199</v>
      </c>
      <c r="D10" s="73">
        <v>-24894972594871</v>
      </c>
      <c r="E10" s="73">
        <v>-599324405800872</v>
      </c>
      <c r="F10" s="27" t="s">
        <v>317</v>
      </c>
      <c r="G10" s="27">
        <v>12</v>
      </c>
      <c r="H10" s="27">
        <v>9</v>
      </c>
      <c r="I10" s="27" t="s">
        <v>318</v>
      </c>
      <c r="J10" s="27" t="s">
        <v>228</v>
      </c>
      <c r="K10" s="73" t="s">
        <v>199</v>
      </c>
      <c r="L10" s="73" t="s">
        <v>319</v>
      </c>
    </row>
    <row r="11" spans="1:12" x14ac:dyDescent="0.3">
      <c r="A11" s="35" t="s">
        <v>331</v>
      </c>
      <c r="B11" s="76" t="s">
        <v>200</v>
      </c>
      <c r="C11" s="76" t="s">
        <v>200</v>
      </c>
      <c r="D11" s="76">
        <v>-233200784211351</v>
      </c>
      <c r="E11" s="76">
        <v>-657642522180337</v>
      </c>
      <c r="F11" s="35" t="s">
        <v>317</v>
      </c>
      <c r="G11" s="35">
        <v>12</v>
      </c>
      <c r="H11" s="35">
        <v>10</v>
      </c>
      <c r="I11" s="35" t="s">
        <v>318</v>
      </c>
      <c r="J11" s="35" t="s">
        <v>228</v>
      </c>
      <c r="K11" s="76" t="s">
        <v>200</v>
      </c>
      <c r="L11" s="76" t="s">
        <v>319</v>
      </c>
    </row>
    <row r="12" spans="1:12" x14ac:dyDescent="0.3">
      <c r="A12" s="27" t="s">
        <v>332</v>
      </c>
      <c r="B12" s="73" t="s">
        <v>201</v>
      </c>
      <c r="C12" s="73" t="s">
        <v>201</v>
      </c>
      <c r="D12" s="73">
        <v>-371315537735949</v>
      </c>
      <c r="E12" s="73">
        <v>-654466546606951</v>
      </c>
      <c r="F12" s="27" t="s">
        <v>317</v>
      </c>
      <c r="G12" s="27">
        <v>12</v>
      </c>
      <c r="H12" s="27">
        <v>11</v>
      </c>
      <c r="I12" s="27" t="s">
        <v>318</v>
      </c>
      <c r="J12" s="27" t="s">
        <v>228</v>
      </c>
      <c r="K12" s="73" t="s">
        <v>201</v>
      </c>
      <c r="L12" s="73" t="s">
        <v>319</v>
      </c>
    </row>
    <row r="13" spans="1:12" x14ac:dyDescent="0.3">
      <c r="A13" s="35" t="s">
        <v>333</v>
      </c>
      <c r="B13" s="76" t="s">
        <v>202</v>
      </c>
      <c r="C13" s="76" t="s">
        <v>202</v>
      </c>
      <c r="D13" s="76">
        <v>-29685776298315</v>
      </c>
      <c r="E13" s="76">
        <v>-671817359694432</v>
      </c>
      <c r="F13" s="35" t="s">
        <v>317</v>
      </c>
      <c r="G13" s="35">
        <v>12</v>
      </c>
      <c r="H13" s="35">
        <v>12</v>
      </c>
      <c r="I13" s="35" t="s">
        <v>318</v>
      </c>
      <c r="J13" s="35" t="s">
        <v>228</v>
      </c>
      <c r="K13" s="76" t="s">
        <v>202</v>
      </c>
      <c r="L13" s="76" t="s">
        <v>319</v>
      </c>
    </row>
    <row r="14" spans="1:12" x14ac:dyDescent="0.3">
      <c r="A14" s="27" t="s">
        <v>334</v>
      </c>
      <c r="B14" s="73" t="s">
        <v>203</v>
      </c>
      <c r="C14" s="73" t="s">
        <v>203</v>
      </c>
      <c r="D14" s="73">
        <v>-346298873058957</v>
      </c>
      <c r="E14" s="73">
        <v>-685831228183798</v>
      </c>
      <c r="F14" s="27" t="s">
        <v>317</v>
      </c>
      <c r="G14" s="27">
        <v>12</v>
      </c>
      <c r="H14" s="27">
        <v>13</v>
      </c>
      <c r="I14" s="27" t="s">
        <v>318</v>
      </c>
      <c r="J14" s="27" t="s">
        <v>228</v>
      </c>
      <c r="K14" s="73" t="s">
        <v>203</v>
      </c>
      <c r="L14" s="73" t="s">
        <v>319</v>
      </c>
    </row>
    <row r="15" spans="1:12" x14ac:dyDescent="0.3">
      <c r="A15" s="35" t="s">
        <v>335</v>
      </c>
      <c r="B15" s="76" t="s">
        <v>204</v>
      </c>
      <c r="C15" s="76" t="s">
        <v>204</v>
      </c>
      <c r="D15" s="76">
        <v>-268753965086829</v>
      </c>
      <c r="E15" s="76">
        <v>-546516966230371</v>
      </c>
      <c r="F15" s="35" t="s">
        <v>317</v>
      </c>
      <c r="G15" s="35">
        <v>12</v>
      </c>
      <c r="H15" s="35">
        <v>14</v>
      </c>
      <c r="I15" s="35" t="s">
        <v>318</v>
      </c>
      <c r="J15" s="35" t="s">
        <v>228</v>
      </c>
      <c r="K15" s="76" t="s">
        <v>204</v>
      </c>
      <c r="L15" s="76" t="s">
        <v>319</v>
      </c>
    </row>
    <row r="16" spans="1:12" x14ac:dyDescent="0.3">
      <c r="A16" s="27" t="s">
        <v>336</v>
      </c>
      <c r="B16" s="73" t="s">
        <v>205</v>
      </c>
      <c r="C16" s="73" t="s">
        <v>205</v>
      </c>
      <c r="D16" s="73">
        <v>-386417575824599</v>
      </c>
      <c r="E16" s="73">
        <v>-701185705180601</v>
      </c>
      <c r="F16" s="27" t="s">
        <v>317</v>
      </c>
      <c r="G16" s="27">
        <v>12</v>
      </c>
      <c r="H16" s="27">
        <v>15</v>
      </c>
      <c r="I16" s="27" t="s">
        <v>318</v>
      </c>
      <c r="J16" s="27" t="s">
        <v>228</v>
      </c>
      <c r="K16" s="73" t="s">
        <v>205</v>
      </c>
      <c r="L16" s="73" t="s">
        <v>319</v>
      </c>
    </row>
    <row r="17" spans="1:12" x14ac:dyDescent="0.3">
      <c r="A17" s="35" t="s">
        <v>337</v>
      </c>
      <c r="B17" s="76" t="s">
        <v>206</v>
      </c>
      <c r="C17" s="76" t="s">
        <v>206</v>
      </c>
      <c r="D17" s="76">
        <v>-404057957178801</v>
      </c>
      <c r="E17" s="76">
        <v>-67229329893694</v>
      </c>
      <c r="F17" s="35" t="s">
        <v>317</v>
      </c>
      <c r="G17" s="35">
        <v>12</v>
      </c>
      <c r="H17" s="35">
        <v>16</v>
      </c>
      <c r="I17" s="35" t="s">
        <v>318</v>
      </c>
      <c r="J17" s="35" t="s">
        <v>228</v>
      </c>
      <c r="K17" s="76" t="s">
        <v>206</v>
      </c>
      <c r="L17" s="76" t="s">
        <v>319</v>
      </c>
    </row>
    <row r="18" spans="1:12" x14ac:dyDescent="0.3">
      <c r="A18" s="27" t="s">
        <v>338</v>
      </c>
      <c r="B18" s="73" t="s">
        <v>207</v>
      </c>
      <c r="C18" s="73" t="s">
        <v>207</v>
      </c>
      <c r="D18" s="73">
        <v>-242991344492002</v>
      </c>
      <c r="E18" s="73">
        <v>-648144629600627</v>
      </c>
      <c r="F18" s="27" t="s">
        <v>317</v>
      </c>
      <c r="G18" s="27">
        <v>12</v>
      </c>
      <c r="H18" s="27">
        <v>17</v>
      </c>
      <c r="I18" s="27" t="s">
        <v>318</v>
      </c>
      <c r="J18" s="27" t="s">
        <v>228</v>
      </c>
      <c r="K18" s="73" t="s">
        <v>207</v>
      </c>
      <c r="L18" s="73" t="s">
        <v>319</v>
      </c>
    </row>
    <row r="19" spans="1:12" x14ac:dyDescent="0.3">
      <c r="A19" s="35" t="s">
        <v>339</v>
      </c>
      <c r="B19" s="76" t="s">
        <v>208</v>
      </c>
      <c r="C19" s="76" t="s">
        <v>208</v>
      </c>
      <c r="D19" s="76">
        <v>-308653679979618</v>
      </c>
      <c r="E19" s="76">
        <v>-688894908486844</v>
      </c>
      <c r="F19" s="35" t="s">
        <v>317</v>
      </c>
      <c r="G19" s="35">
        <v>12</v>
      </c>
      <c r="H19" s="35">
        <v>18</v>
      </c>
      <c r="I19" s="35" t="s">
        <v>318</v>
      </c>
      <c r="J19" s="35" t="s">
        <v>228</v>
      </c>
      <c r="K19" s="76" t="s">
        <v>208</v>
      </c>
      <c r="L19" s="76" t="s">
        <v>319</v>
      </c>
    </row>
    <row r="20" spans="1:12" x14ac:dyDescent="0.3">
      <c r="A20" s="27" t="s">
        <v>340</v>
      </c>
      <c r="B20" s="73" t="s">
        <v>209</v>
      </c>
      <c r="C20" s="73" t="s">
        <v>209</v>
      </c>
      <c r="D20" s="73">
        <v>-337577257449137</v>
      </c>
      <c r="E20" s="73">
        <v>-660281298195836</v>
      </c>
      <c r="F20" s="27" t="s">
        <v>317</v>
      </c>
      <c r="G20" s="27">
        <v>12</v>
      </c>
      <c r="H20" s="27">
        <v>19</v>
      </c>
      <c r="I20" s="27" t="s">
        <v>318</v>
      </c>
      <c r="J20" s="27" t="s">
        <v>228</v>
      </c>
      <c r="K20" s="73" t="s">
        <v>209</v>
      </c>
      <c r="L20" s="73" t="s">
        <v>319</v>
      </c>
    </row>
    <row r="21" spans="1:12" x14ac:dyDescent="0.3">
      <c r="A21" s="35" t="s">
        <v>341</v>
      </c>
      <c r="B21" s="76" t="s">
        <v>210</v>
      </c>
      <c r="C21" s="76" t="s">
        <v>211</v>
      </c>
      <c r="D21" s="76">
        <v>-488154851827063</v>
      </c>
      <c r="E21" s="76">
        <v>-699557621671973</v>
      </c>
      <c r="F21" s="35" t="s">
        <v>317</v>
      </c>
      <c r="G21" s="35">
        <v>12</v>
      </c>
      <c r="H21" s="35">
        <v>20</v>
      </c>
      <c r="I21" s="35" t="s">
        <v>318</v>
      </c>
      <c r="J21" s="35" t="s">
        <v>228</v>
      </c>
      <c r="K21" s="76" t="s">
        <v>210</v>
      </c>
      <c r="L21" s="76" t="s">
        <v>319</v>
      </c>
    </row>
    <row r="22" spans="1:12" x14ac:dyDescent="0.3">
      <c r="A22" s="27" t="s">
        <v>342</v>
      </c>
      <c r="B22" s="73" t="s">
        <v>212</v>
      </c>
      <c r="C22" s="73" t="s">
        <v>213</v>
      </c>
      <c r="D22" s="73">
        <v>-307069271588117</v>
      </c>
      <c r="E22" s="73">
        <v>-609498369430241</v>
      </c>
      <c r="F22" s="27" t="s">
        <v>317</v>
      </c>
      <c r="G22" s="27">
        <v>12</v>
      </c>
      <c r="H22" s="27">
        <v>21</v>
      </c>
      <c r="I22" s="27" t="s">
        <v>318</v>
      </c>
      <c r="J22" s="27" t="s">
        <v>228</v>
      </c>
      <c r="K22" s="73" t="s">
        <v>212</v>
      </c>
      <c r="L22" s="73" t="s">
        <v>319</v>
      </c>
    </row>
    <row r="23" spans="1:12" x14ac:dyDescent="0.3">
      <c r="A23" s="35" t="s">
        <v>343</v>
      </c>
      <c r="B23" s="76" t="s">
        <v>214</v>
      </c>
      <c r="C23" s="76" t="s">
        <v>215</v>
      </c>
      <c r="D23" s="76">
        <v>-277824116550944</v>
      </c>
      <c r="E23" s="76">
        <v>-632523866568588</v>
      </c>
      <c r="F23" s="35" t="s">
        <v>317</v>
      </c>
      <c r="G23" s="35">
        <v>12</v>
      </c>
      <c r="H23" s="35">
        <v>22</v>
      </c>
      <c r="I23" s="35" t="s">
        <v>318</v>
      </c>
      <c r="J23" s="35" t="s">
        <v>228</v>
      </c>
      <c r="K23" s="76" t="s">
        <v>214</v>
      </c>
      <c r="L23" s="76" t="s">
        <v>319</v>
      </c>
    </row>
    <row r="24" spans="1:12" x14ac:dyDescent="0.3">
      <c r="A24" s="27" t="s">
        <v>344</v>
      </c>
      <c r="B24" s="73" t="s">
        <v>216</v>
      </c>
      <c r="C24" s="73" t="s">
        <v>216</v>
      </c>
      <c r="D24" s="73">
        <v>-8252151781221</v>
      </c>
      <c r="E24" s="73">
        <v>-507427486049785</v>
      </c>
      <c r="F24" s="27" t="s">
        <v>345</v>
      </c>
      <c r="G24" s="27">
        <v>12</v>
      </c>
      <c r="H24" s="27">
        <v>23</v>
      </c>
      <c r="I24" s="27" t="s">
        <v>318</v>
      </c>
      <c r="J24" s="27" t="s">
        <v>228</v>
      </c>
      <c r="K24" s="73" t="s">
        <v>216</v>
      </c>
      <c r="L24" s="73" t="s">
        <v>346</v>
      </c>
    </row>
    <row r="25" spans="1:12" ht="15" thickBot="1" x14ac:dyDescent="0.35">
      <c r="A25" s="80" t="s">
        <v>347</v>
      </c>
      <c r="B25" s="81" t="s">
        <v>217</v>
      </c>
      <c r="C25" s="81" t="s">
        <v>217</v>
      </c>
      <c r="D25" s="81">
        <v>-269478001830786</v>
      </c>
      <c r="E25" s="81">
        <v>-653647579441481</v>
      </c>
      <c r="F25" s="80" t="s">
        <v>317</v>
      </c>
      <c r="G25" s="80">
        <v>12</v>
      </c>
      <c r="H25" s="80">
        <v>24</v>
      </c>
      <c r="I25" s="80" t="s">
        <v>318</v>
      </c>
      <c r="J25" s="80" t="s">
        <v>228</v>
      </c>
      <c r="K25" s="81" t="s">
        <v>217</v>
      </c>
      <c r="L25" s="81" t="s">
        <v>319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4A58-DC6F-4BED-AA43-32BC3A939B0B}">
  <dimension ref="A1:D24"/>
  <sheetViews>
    <sheetView topLeftCell="A10" workbookViewId="0">
      <selection activeCell="A19" sqref="A19:D24"/>
    </sheetView>
  </sheetViews>
  <sheetFormatPr baseColWidth="10" defaultColWidth="11.44140625" defaultRowHeight="14.4" x14ac:dyDescent="0.3"/>
  <cols>
    <col min="1" max="1" width="22.6640625" style="7" customWidth="1"/>
    <col min="2" max="2" width="31.44140625" style="7" customWidth="1"/>
    <col min="3" max="4" width="27.44140625" style="7" customWidth="1"/>
    <col min="5" max="16384" width="11.44140625" style="7"/>
  </cols>
  <sheetData>
    <row r="1" spans="1:4" ht="15" thickBot="1" x14ac:dyDescent="0.35">
      <c r="A1" s="26" t="s">
        <v>28</v>
      </c>
      <c r="B1" s="26" t="s">
        <v>39</v>
      </c>
      <c r="C1" s="26" t="s">
        <v>33</v>
      </c>
      <c r="D1" s="26" t="s">
        <v>36</v>
      </c>
    </row>
    <row r="2" spans="1:4" x14ac:dyDescent="0.3">
      <c r="A2" s="13" t="s">
        <v>50</v>
      </c>
      <c r="B2" s="13" t="s">
        <v>55</v>
      </c>
      <c r="C2" s="87"/>
      <c r="D2" s="135" t="s">
        <v>366</v>
      </c>
    </row>
    <row r="3" spans="1:4" x14ac:dyDescent="0.3">
      <c r="A3" s="33" t="s">
        <v>363</v>
      </c>
      <c r="B3" s="33" t="s">
        <v>364</v>
      </c>
      <c r="C3" s="88"/>
      <c r="D3" s="136"/>
    </row>
    <row r="4" spans="1:4" ht="15" thickBot="1" x14ac:dyDescent="0.35">
      <c r="A4" s="14" t="s">
        <v>47</v>
      </c>
      <c r="B4" s="14" t="s">
        <v>365</v>
      </c>
      <c r="C4" s="89"/>
      <c r="D4" s="137"/>
    </row>
    <row r="5" spans="1:4" x14ac:dyDescent="0.3">
      <c r="A5" s="86"/>
      <c r="B5" s="86"/>
      <c r="C5" s="86"/>
      <c r="D5" s="83"/>
    </row>
    <row r="6" spans="1:4" ht="15" thickBot="1" x14ac:dyDescent="0.35"/>
    <row r="7" spans="1:4" ht="20.25" customHeight="1" thickBot="1" x14ac:dyDescent="0.35">
      <c r="A7" s="26" t="s">
        <v>28</v>
      </c>
      <c r="B7" s="26" t="s">
        <v>39</v>
      </c>
      <c r="C7" s="26" t="s">
        <v>33</v>
      </c>
      <c r="D7" s="26" t="s">
        <v>36</v>
      </c>
    </row>
    <row r="8" spans="1:4" x14ac:dyDescent="0.3">
      <c r="A8" s="13" t="s">
        <v>29</v>
      </c>
      <c r="B8" s="13" t="s">
        <v>31</v>
      </c>
      <c r="C8" s="13" t="s">
        <v>34</v>
      </c>
      <c r="D8" s="135" t="s">
        <v>37</v>
      </c>
    </row>
    <row r="9" spans="1:4" ht="15" thickBot="1" x14ac:dyDescent="0.35">
      <c r="A9" s="15" t="s">
        <v>30</v>
      </c>
      <c r="B9" s="15" t="s">
        <v>32</v>
      </c>
      <c r="C9" s="15" t="s">
        <v>35</v>
      </c>
      <c r="D9" s="137"/>
    </row>
    <row r="11" spans="1:4" ht="15" thickBot="1" x14ac:dyDescent="0.35"/>
    <row r="12" spans="1:4" ht="20.25" customHeight="1" thickBot="1" x14ac:dyDescent="0.35">
      <c r="A12" s="26" t="s">
        <v>28</v>
      </c>
      <c r="B12" s="26" t="s">
        <v>39</v>
      </c>
      <c r="C12" s="26" t="s">
        <v>33</v>
      </c>
      <c r="D12" s="26" t="s">
        <v>36</v>
      </c>
    </row>
    <row r="13" spans="1:4" x14ac:dyDescent="0.3">
      <c r="A13" s="138" t="s">
        <v>29</v>
      </c>
      <c r="B13" s="138" t="s">
        <v>51</v>
      </c>
      <c r="C13" s="13" t="s">
        <v>40</v>
      </c>
      <c r="D13" s="135" t="s">
        <v>54</v>
      </c>
    </row>
    <row r="14" spans="1:4" x14ac:dyDescent="0.3">
      <c r="A14" s="134"/>
      <c r="B14" s="134"/>
      <c r="C14" s="12" t="s">
        <v>380</v>
      </c>
      <c r="D14" s="136"/>
    </row>
    <row r="15" spans="1:4" x14ac:dyDescent="0.3">
      <c r="A15" s="134"/>
      <c r="B15" s="134"/>
      <c r="C15" s="12" t="s">
        <v>52</v>
      </c>
      <c r="D15" s="136"/>
    </row>
    <row r="16" spans="1:4" ht="15" thickBot="1" x14ac:dyDescent="0.35">
      <c r="A16" s="15" t="s">
        <v>50</v>
      </c>
      <c r="B16" s="15" t="s">
        <v>55</v>
      </c>
      <c r="C16" s="15" t="s">
        <v>34</v>
      </c>
      <c r="D16" s="137"/>
    </row>
    <row r="18" spans="1:4" ht="15" thickBot="1" x14ac:dyDescent="0.35"/>
    <row r="19" spans="1:4" ht="20.25" customHeight="1" thickBot="1" x14ac:dyDescent="0.35">
      <c r="A19" s="26" t="s">
        <v>28</v>
      </c>
      <c r="B19" s="26" t="s">
        <v>39</v>
      </c>
      <c r="C19" s="26" t="s">
        <v>33</v>
      </c>
      <c r="D19" s="26" t="s">
        <v>36</v>
      </c>
    </row>
    <row r="20" spans="1:4" x14ac:dyDescent="0.3">
      <c r="A20" s="138" t="s">
        <v>29</v>
      </c>
      <c r="B20" s="138" t="s">
        <v>51</v>
      </c>
      <c r="C20" s="13" t="s">
        <v>386</v>
      </c>
      <c r="D20" s="135" t="s">
        <v>387</v>
      </c>
    </row>
    <row r="21" spans="1:4" x14ac:dyDescent="0.3">
      <c r="A21" s="134"/>
      <c r="B21" s="134"/>
      <c r="C21" s="12" t="s">
        <v>380</v>
      </c>
      <c r="D21" s="136"/>
    </row>
    <row r="22" spans="1:4" x14ac:dyDescent="0.3">
      <c r="A22" s="134"/>
      <c r="B22" s="134"/>
      <c r="C22" s="101" t="s">
        <v>115</v>
      </c>
      <c r="D22" s="136"/>
    </row>
    <row r="23" spans="1:4" x14ac:dyDescent="0.3">
      <c r="A23" s="33" t="s">
        <v>50</v>
      </c>
      <c r="B23" s="33" t="s">
        <v>55</v>
      </c>
      <c r="C23" s="33" t="s">
        <v>34</v>
      </c>
      <c r="D23" s="136"/>
    </row>
    <row r="24" spans="1:4" ht="15" thickBot="1" x14ac:dyDescent="0.35">
      <c r="A24" s="14" t="s">
        <v>363</v>
      </c>
      <c r="B24" s="14" t="s">
        <v>364</v>
      </c>
      <c r="C24" s="14" t="s">
        <v>34</v>
      </c>
      <c r="D24" s="137"/>
    </row>
  </sheetData>
  <mergeCells count="8">
    <mergeCell ref="D20:D24"/>
    <mergeCell ref="B20:B22"/>
    <mergeCell ref="A20:A22"/>
    <mergeCell ref="D2:D4"/>
    <mergeCell ref="B13:B15"/>
    <mergeCell ref="A13:A15"/>
    <mergeCell ref="D8:D9"/>
    <mergeCell ref="D13:D16"/>
  </mergeCells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A6F3-FA87-4EFD-A036-CDD809500386}">
  <dimension ref="A1:C47"/>
  <sheetViews>
    <sheetView workbookViewId="0">
      <selection activeCell="C1" sqref="C1"/>
    </sheetView>
  </sheetViews>
  <sheetFormatPr baseColWidth="10" defaultColWidth="11.44140625" defaultRowHeight="14.4" x14ac:dyDescent="0.3"/>
  <cols>
    <col min="1" max="1" width="11.44140625" style="7"/>
    <col min="2" max="2" width="18.6640625" style="7" customWidth="1"/>
    <col min="3" max="3" width="70.5546875" style="7" customWidth="1"/>
    <col min="4" max="16384" width="11.44140625" style="7"/>
  </cols>
  <sheetData>
    <row r="1" spans="1:3" ht="35.1" customHeight="1" thickBot="1" x14ac:dyDescent="0.35">
      <c r="A1" s="70" t="s">
        <v>369</v>
      </c>
      <c r="B1" s="26" t="s">
        <v>38</v>
      </c>
      <c r="C1" s="26" t="s">
        <v>48</v>
      </c>
    </row>
    <row r="2" spans="1:3" ht="30" customHeight="1" x14ac:dyDescent="0.3">
      <c r="A2" s="90">
        <v>1</v>
      </c>
      <c r="B2" s="13" t="s">
        <v>34</v>
      </c>
      <c r="C2" s="13" t="s">
        <v>367</v>
      </c>
    </row>
    <row r="3" spans="1:3" ht="30" customHeight="1" x14ac:dyDescent="0.3">
      <c r="A3" s="93">
        <v>2</v>
      </c>
      <c r="B3" s="33" t="s">
        <v>34</v>
      </c>
      <c r="C3" s="33" t="s">
        <v>368</v>
      </c>
    </row>
    <row r="4" spans="1:3" ht="30" customHeight="1" x14ac:dyDescent="0.3">
      <c r="A4" s="91">
        <v>3</v>
      </c>
      <c r="B4" s="12" t="s">
        <v>0</v>
      </c>
      <c r="C4" s="12" t="s">
        <v>371</v>
      </c>
    </row>
    <row r="5" spans="1:3" ht="30" customHeight="1" x14ac:dyDescent="0.3">
      <c r="A5" s="93">
        <v>4</v>
      </c>
      <c r="B5" s="33" t="s">
        <v>0</v>
      </c>
      <c r="C5" s="33" t="s">
        <v>372</v>
      </c>
    </row>
    <row r="6" spans="1:3" ht="30" customHeight="1" x14ac:dyDescent="0.3">
      <c r="A6" s="91">
        <v>5</v>
      </c>
      <c r="B6" s="12" t="s">
        <v>0</v>
      </c>
      <c r="C6" s="12" t="s">
        <v>373</v>
      </c>
    </row>
    <row r="7" spans="1:3" ht="30" customHeight="1" x14ac:dyDescent="0.3">
      <c r="A7" s="93">
        <v>6</v>
      </c>
      <c r="B7" s="33" t="s">
        <v>0</v>
      </c>
      <c r="C7" s="33" t="s">
        <v>374</v>
      </c>
    </row>
    <row r="8" spans="1:3" ht="30" customHeight="1" thickBot="1" x14ac:dyDescent="0.35">
      <c r="A8" s="92">
        <v>7</v>
      </c>
      <c r="B8" s="14" t="s">
        <v>370</v>
      </c>
      <c r="C8" s="14" t="s">
        <v>375</v>
      </c>
    </row>
    <row r="9" spans="1:3" ht="30" customHeight="1" x14ac:dyDescent="0.3"/>
    <row r="10" spans="1:3" ht="15" thickBot="1" x14ac:dyDescent="0.35"/>
    <row r="11" spans="1:3" ht="35.1" customHeight="1" thickBot="1" x14ac:dyDescent="0.35">
      <c r="A11" s="70" t="s">
        <v>369</v>
      </c>
      <c r="B11" s="26" t="s">
        <v>38</v>
      </c>
      <c r="C11" s="26" t="s">
        <v>48</v>
      </c>
    </row>
    <row r="12" spans="1:3" ht="30" customHeight="1" x14ac:dyDescent="0.3">
      <c r="A12" s="96">
        <v>1</v>
      </c>
      <c r="B12" s="97" t="s">
        <v>40</v>
      </c>
      <c r="C12" s="97" t="s">
        <v>376</v>
      </c>
    </row>
    <row r="13" spans="1:3" ht="30" customHeight="1" x14ac:dyDescent="0.3">
      <c r="A13" s="99">
        <v>2</v>
      </c>
      <c r="B13" s="33" t="s">
        <v>35</v>
      </c>
      <c r="C13" s="33" t="s">
        <v>377</v>
      </c>
    </row>
    <row r="14" spans="1:3" ht="30" customHeight="1" x14ac:dyDescent="0.3">
      <c r="A14" s="94">
        <v>3</v>
      </c>
      <c r="B14" s="12" t="s">
        <v>34</v>
      </c>
      <c r="C14" s="12" t="s">
        <v>49</v>
      </c>
    </row>
    <row r="15" spans="1:3" ht="30" customHeight="1" x14ac:dyDescent="0.3">
      <c r="A15" s="99">
        <v>4</v>
      </c>
      <c r="B15" s="33" t="s">
        <v>40</v>
      </c>
      <c r="C15" s="33" t="s">
        <v>378</v>
      </c>
    </row>
    <row r="16" spans="1:3" ht="30" customHeight="1" x14ac:dyDescent="0.3">
      <c r="A16" s="94">
        <v>5</v>
      </c>
      <c r="B16" s="12" t="s">
        <v>40</v>
      </c>
      <c r="C16" s="12" t="s">
        <v>41</v>
      </c>
    </row>
    <row r="17" spans="1:3" ht="30" customHeight="1" x14ac:dyDescent="0.3">
      <c r="A17" s="99">
        <v>6</v>
      </c>
      <c r="B17" s="33" t="s">
        <v>40</v>
      </c>
      <c r="C17" s="33" t="s">
        <v>42</v>
      </c>
    </row>
    <row r="18" spans="1:3" ht="30" customHeight="1" x14ac:dyDescent="0.3">
      <c r="A18" s="94">
        <v>7</v>
      </c>
      <c r="B18" s="95" t="s">
        <v>40</v>
      </c>
      <c r="C18" s="95" t="s">
        <v>379</v>
      </c>
    </row>
    <row r="19" spans="1:3" ht="30" customHeight="1" x14ac:dyDescent="0.3">
      <c r="A19" s="99">
        <v>8</v>
      </c>
      <c r="B19" s="33" t="s">
        <v>40</v>
      </c>
      <c r="C19" s="33" t="s">
        <v>43</v>
      </c>
    </row>
    <row r="20" spans="1:3" ht="30" customHeight="1" x14ac:dyDescent="0.3">
      <c r="A20" s="94">
        <v>9</v>
      </c>
      <c r="B20" s="12" t="s">
        <v>40</v>
      </c>
      <c r="C20" s="12" t="s">
        <v>44</v>
      </c>
    </row>
    <row r="21" spans="1:3" ht="30" customHeight="1" x14ac:dyDescent="0.3">
      <c r="A21" s="99">
        <v>10</v>
      </c>
      <c r="B21" s="33" t="s">
        <v>40</v>
      </c>
      <c r="C21" s="33" t="s">
        <v>45</v>
      </c>
    </row>
    <row r="22" spans="1:3" ht="30" customHeight="1" thickBot="1" x14ac:dyDescent="0.35">
      <c r="A22" s="98">
        <v>11</v>
      </c>
      <c r="B22" s="14" t="s">
        <v>40</v>
      </c>
      <c r="C22" s="14" t="s">
        <v>46</v>
      </c>
    </row>
    <row r="23" spans="1:3" ht="30" customHeight="1" x14ac:dyDescent="0.3">
      <c r="A23" s="12"/>
    </row>
    <row r="24" spans="1:3" x14ac:dyDescent="0.3">
      <c r="B24" s="12"/>
      <c r="C24" s="12"/>
    </row>
    <row r="25" spans="1:3" ht="15" thickBot="1" x14ac:dyDescent="0.35">
      <c r="B25" s="12"/>
      <c r="C25" s="12"/>
    </row>
    <row r="26" spans="1:3" ht="35.1" customHeight="1" thickBot="1" x14ac:dyDescent="0.35">
      <c r="A26" s="70" t="s">
        <v>369</v>
      </c>
      <c r="B26" s="26" t="s">
        <v>38</v>
      </c>
      <c r="C26" s="26" t="s">
        <v>48</v>
      </c>
    </row>
    <row r="27" spans="1:3" ht="30" customHeight="1" x14ac:dyDescent="0.3">
      <c r="A27" s="96">
        <v>1</v>
      </c>
      <c r="B27" s="97" t="s">
        <v>40</v>
      </c>
      <c r="C27" s="97" t="s">
        <v>381</v>
      </c>
    </row>
    <row r="28" spans="1:3" ht="30" customHeight="1" x14ac:dyDescent="0.3">
      <c r="A28" s="99">
        <v>2</v>
      </c>
      <c r="B28" s="100" t="s">
        <v>382</v>
      </c>
      <c r="C28" s="100" t="s">
        <v>383</v>
      </c>
    </row>
    <row r="29" spans="1:3" ht="30" customHeight="1" x14ac:dyDescent="0.3">
      <c r="A29" s="94">
        <v>3</v>
      </c>
      <c r="B29" s="12" t="s">
        <v>53</v>
      </c>
      <c r="C29" s="12" t="s">
        <v>59</v>
      </c>
    </row>
    <row r="30" spans="1:3" ht="30" customHeight="1" x14ac:dyDescent="0.3">
      <c r="A30" s="99">
        <v>4</v>
      </c>
      <c r="B30" s="100" t="s">
        <v>34</v>
      </c>
      <c r="C30" s="100" t="s">
        <v>384</v>
      </c>
    </row>
    <row r="31" spans="1:3" ht="30" customHeight="1" x14ac:dyDescent="0.3">
      <c r="A31" s="94">
        <v>5</v>
      </c>
      <c r="B31" s="12" t="s">
        <v>56</v>
      </c>
      <c r="C31" s="12" t="s">
        <v>57</v>
      </c>
    </row>
    <row r="32" spans="1:3" ht="30" customHeight="1" x14ac:dyDescent="0.3">
      <c r="A32" s="99">
        <v>6</v>
      </c>
      <c r="B32" s="100" t="s">
        <v>56</v>
      </c>
      <c r="C32" s="100" t="s">
        <v>58</v>
      </c>
    </row>
    <row r="33" spans="1:3" ht="30" customHeight="1" thickBot="1" x14ac:dyDescent="0.35">
      <c r="A33" s="98">
        <v>7</v>
      </c>
      <c r="B33" s="14" t="s">
        <v>52</v>
      </c>
      <c r="C33" s="14" t="s">
        <v>385</v>
      </c>
    </row>
    <row r="34" spans="1:3" ht="30" customHeight="1" x14ac:dyDescent="0.3"/>
    <row r="35" spans="1:3" x14ac:dyDescent="0.3">
      <c r="B35" s="12"/>
      <c r="C35" s="12"/>
    </row>
    <row r="36" spans="1:3" ht="15" thickBot="1" x14ac:dyDescent="0.35">
      <c r="B36" s="12"/>
      <c r="C36" s="12"/>
    </row>
    <row r="37" spans="1:3" ht="35.1" customHeight="1" thickBot="1" x14ac:dyDescent="0.35">
      <c r="A37" s="70" t="s">
        <v>369</v>
      </c>
      <c r="B37" s="26" t="s">
        <v>38</v>
      </c>
      <c r="C37" s="26" t="s">
        <v>48</v>
      </c>
    </row>
    <row r="38" spans="1:3" ht="30" customHeight="1" x14ac:dyDescent="0.3">
      <c r="A38" s="96">
        <v>1</v>
      </c>
      <c r="B38" s="97" t="s">
        <v>40</v>
      </c>
      <c r="C38" s="97" t="s">
        <v>381</v>
      </c>
    </row>
    <row r="39" spans="1:3" ht="30" customHeight="1" x14ac:dyDescent="0.3">
      <c r="A39" s="99">
        <v>2</v>
      </c>
      <c r="B39" s="100" t="s">
        <v>382</v>
      </c>
      <c r="C39" s="100" t="s">
        <v>383</v>
      </c>
    </row>
    <row r="40" spans="1:3" ht="30" customHeight="1" x14ac:dyDescent="0.3">
      <c r="A40" s="94">
        <v>3</v>
      </c>
      <c r="B40" s="12" t="s">
        <v>53</v>
      </c>
      <c r="C40" s="12" t="s">
        <v>59</v>
      </c>
    </row>
    <row r="41" spans="1:3" ht="30" customHeight="1" x14ac:dyDescent="0.3">
      <c r="A41" s="99">
        <v>4</v>
      </c>
      <c r="B41" s="100" t="s">
        <v>34</v>
      </c>
      <c r="C41" s="100" t="s">
        <v>384</v>
      </c>
    </row>
    <row r="42" spans="1:3" ht="30" customHeight="1" x14ac:dyDescent="0.3">
      <c r="A42" s="94">
        <v>5</v>
      </c>
      <c r="B42" s="12" t="s">
        <v>40</v>
      </c>
      <c r="C42" s="12" t="s">
        <v>117</v>
      </c>
    </row>
    <row r="43" spans="1:3" ht="30" customHeight="1" x14ac:dyDescent="0.3">
      <c r="A43" s="99">
        <v>6</v>
      </c>
      <c r="B43" s="100" t="s">
        <v>40</v>
      </c>
      <c r="C43" s="100" t="s">
        <v>119</v>
      </c>
    </row>
    <row r="44" spans="1:3" ht="30" customHeight="1" x14ac:dyDescent="0.3">
      <c r="A44" s="94">
        <v>7</v>
      </c>
      <c r="B44" s="12" t="s">
        <v>40</v>
      </c>
      <c r="C44" s="12" t="s">
        <v>116</v>
      </c>
    </row>
    <row r="45" spans="1:3" ht="30" customHeight="1" x14ac:dyDescent="0.3">
      <c r="A45" s="99">
        <v>8</v>
      </c>
      <c r="B45" s="100" t="s">
        <v>40</v>
      </c>
      <c r="C45" s="100" t="s">
        <v>118</v>
      </c>
    </row>
    <row r="46" spans="1:3" ht="30" customHeight="1" thickBot="1" x14ac:dyDescent="0.35">
      <c r="A46" s="98">
        <v>9</v>
      </c>
      <c r="B46" s="14" t="s">
        <v>115</v>
      </c>
      <c r="C46" s="14" t="s">
        <v>388</v>
      </c>
    </row>
    <row r="47" spans="1:3" ht="30" customHeight="1" x14ac:dyDescent="0.3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BF2A-CB35-4462-94F5-44133B3997AE}">
  <dimension ref="A1:C7"/>
  <sheetViews>
    <sheetView workbookViewId="0">
      <selection sqref="A1:C7"/>
    </sheetView>
  </sheetViews>
  <sheetFormatPr baseColWidth="10" defaultColWidth="11.44140625" defaultRowHeight="14.4" x14ac:dyDescent="0.3"/>
  <cols>
    <col min="1" max="1" width="19.33203125" style="68" customWidth="1"/>
    <col min="2" max="2" width="14.6640625" style="68" customWidth="1"/>
    <col min="3" max="3" width="16.5546875" style="68" customWidth="1"/>
    <col min="4" max="16384" width="11.44140625" style="68"/>
  </cols>
  <sheetData>
    <row r="1" spans="1:3" ht="27.75" customHeight="1" thickBot="1" x14ac:dyDescent="0.35">
      <c r="A1" s="107" t="s">
        <v>400</v>
      </c>
      <c r="B1" s="107" t="s">
        <v>394</v>
      </c>
      <c r="C1" s="107" t="s">
        <v>395</v>
      </c>
    </row>
    <row r="2" spans="1:3" ht="6.75" customHeight="1" x14ac:dyDescent="0.3">
      <c r="A2" s="27"/>
      <c r="B2" s="27"/>
      <c r="C2" s="27"/>
    </row>
    <row r="3" spans="1:3" ht="30" customHeight="1" x14ac:dyDescent="0.3">
      <c r="A3" s="102"/>
      <c r="B3" s="105" t="s">
        <v>390</v>
      </c>
      <c r="C3" s="27" t="s">
        <v>396</v>
      </c>
    </row>
    <row r="4" spans="1:3" ht="30" customHeight="1" x14ac:dyDescent="0.3">
      <c r="A4" s="103"/>
      <c r="B4" s="105" t="s">
        <v>391</v>
      </c>
      <c r="C4" s="27" t="s">
        <v>397</v>
      </c>
    </row>
    <row r="5" spans="1:3" ht="30" customHeight="1" x14ac:dyDescent="0.3">
      <c r="A5" s="104"/>
      <c r="B5" s="106" t="s">
        <v>392</v>
      </c>
      <c r="C5" s="27" t="s">
        <v>398</v>
      </c>
    </row>
    <row r="6" spans="1:3" ht="30" customHeight="1" x14ac:dyDescent="0.3">
      <c r="A6" s="35"/>
      <c r="B6" s="105" t="s">
        <v>393</v>
      </c>
      <c r="C6" s="27" t="s">
        <v>399</v>
      </c>
    </row>
    <row r="7" spans="1:3" ht="6.75" customHeight="1" thickBot="1" x14ac:dyDescent="0.35">
      <c r="A7" s="28"/>
      <c r="B7" s="28"/>
      <c r="C7" s="28"/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F3EC-6036-4EC4-ABC7-8C412522AB19}">
  <dimension ref="A1:E9"/>
  <sheetViews>
    <sheetView workbookViewId="0">
      <selection sqref="A1:E2"/>
    </sheetView>
  </sheetViews>
  <sheetFormatPr baseColWidth="10" defaultColWidth="11.44140625" defaultRowHeight="14.4" x14ac:dyDescent="0.3"/>
  <cols>
    <col min="1" max="1" width="11.44140625" style="68"/>
    <col min="2" max="5" width="15.6640625" style="68" customWidth="1"/>
    <col min="6" max="16384" width="11.44140625" style="68"/>
  </cols>
  <sheetData>
    <row r="1" spans="1:5" ht="20.25" customHeight="1" thickBot="1" x14ac:dyDescent="0.35">
      <c r="A1" s="142" t="s">
        <v>348</v>
      </c>
      <c r="B1" s="141" t="s">
        <v>351</v>
      </c>
      <c r="C1" s="141"/>
      <c r="D1" s="141" t="s">
        <v>350</v>
      </c>
      <c r="E1" s="141"/>
    </row>
    <row r="2" spans="1:5" ht="19.5" customHeight="1" thickBot="1" x14ac:dyDescent="0.35">
      <c r="A2" s="143"/>
      <c r="B2" s="84" t="s">
        <v>352</v>
      </c>
      <c r="C2" s="84" t="s">
        <v>349</v>
      </c>
      <c r="D2" s="84" t="s">
        <v>352</v>
      </c>
      <c r="E2" s="84" t="s">
        <v>349</v>
      </c>
    </row>
    <row r="3" spans="1:5" x14ac:dyDescent="0.3">
      <c r="A3" s="27">
        <v>2016</v>
      </c>
      <c r="B3" s="27" t="s">
        <v>354</v>
      </c>
      <c r="C3" s="27" t="s">
        <v>353</v>
      </c>
      <c r="D3" s="27" t="s">
        <v>355</v>
      </c>
      <c r="E3" s="27" t="s">
        <v>353</v>
      </c>
    </row>
    <row r="4" spans="1:5" x14ac:dyDescent="0.3">
      <c r="A4" s="35">
        <v>2016</v>
      </c>
      <c r="B4" s="35" t="s">
        <v>356</v>
      </c>
      <c r="C4" s="35" t="s">
        <v>357</v>
      </c>
      <c r="D4" s="35" t="s">
        <v>361</v>
      </c>
      <c r="E4" s="35" t="s">
        <v>357</v>
      </c>
    </row>
    <row r="5" spans="1:5" x14ac:dyDescent="0.3">
      <c r="A5" s="27">
        <v>2017</v>
      </c>
      <c r="B5" s="27" t="s">
        <v>356</v>
      </c>
      <c r="C5" s="27" t="s">
        <v>357</v>
      </c>
      <c r="D5" s="27" t="s">
        <v>358</v>
      </c>
      <c r="E5" s="27" t="s">
        <v>357</v>
      </c>
    </row>
    <row r="6" spans="1:5" x14ac:dyDescent="0.3">
      <c r="A6" s="35">
        <v>2018</v>
      </c>
      <c r="B6" s="35" t="s">
        <v>356</v>
      </c>
      <c r="C6" s="35" t="s">
        <v>357</v>
      </c>
      <c r="D6" s="144" t="s">
        <v>359</v>
      </c>
      <c r="E6" s="144"/>
    </row>
    <row r="7" spans="1:5" x14ac:dyDescent="0.3">
      <c r="A7" s="27">
        <v>2019</v>
      </c>
      <c r="B7" s="27" t="s">
        <v>356</v>
      </c>
      <c r="C7" s="27" t="s">
        <v>357</v>
      </c>
      <c r="D7" s="145" t="s">
        <v>359</v>
      </c>
      <c r="E7" s="145"/>
    </row>
    <row r="8" spans="1:5" ht="15" thickBot="1" x14ac:dyDescent="0.35">
      <c r="A8" s="85">
        <v>2021</v>
      </c>
      <c r="B8" s="139" t="s">
        <v>360</v>
      </c>
      <c r="C8" s="139"/>
      <c r="D8" s="139"/>
      <c r="E8" s="139"/>
    </row>
    <row r="9" spans="1:5" ht="24" customHeight="1" x14ac:dyDescent="0.3">
      <c r="A9" s="140" t="s">
        <v>362</v>
      </c>
      <c r="B9" s="140"/>
      <c r="C9" s="140"/>
      <c r="D9" s="140"/>
      <c r="E9" s="140"/>
    </row>
  </sheetData>
  <mergeCells count="7">
    <mergeCell ref="B8:E8"/>
    <mergeCell ref="A9:E9"/>
    <mergeCell ref="B1:C1"/>
    <mergeCell ref="D1:E1"/>
    <mergeCell ref="A1:A2"/>
    <mergeCell ref="D6:E6"/>
    <mergeCell ref="D7:E7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3DC11B-7FDE-4BFD-8071-A5F6D9221B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</vt:lpstr>
      <vt:lpstr>Seleccion</vt:lpstr>
      <vt:lpstr>Glosario</vt:lpstr>
      <vt:lpstr>Tablas</vt:lpstr>
      <vt:lpstr>provincia2</vt:lpstr>
      <vt:lpstr>Tabla  de Versionado</vt:lpstr>
      <vt:lpstr>Tabla  de Versionado (2)</vt:lpstr>
      <vt:lpstr>M BI</vt:lpstr>
      <vt:lpstr>Indicadores</vt:lpstr>
      <vt:lpstr>new jurisdiccion</vt:lpstr>
      <vt:lpstr>Filtros</vt:lpstr>
      <vt:lpstr>Visuales</vt:lpstr>
      <vt:lpstr>Paleta</vt:lpstr>
      <vt:lpstr>Lineas de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Tessmer</dc:creator>
  <cp:lastModifiedBy>Germán Tessmer</cp:lastModifiedBy>
  <dcterms:created xsi:type="dcterms:W3CDTF">2015-06-05T18:19:34Z</dcterms:created>
  <dcterms:modified xsi:type="dcterms:W3CDTF">2024-01-23T21:48:44Z</dcterms:modified>
</cp:coreProperties>
</file>